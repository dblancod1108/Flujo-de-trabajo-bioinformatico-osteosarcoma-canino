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281c9ef75ad223/Documentos/Trabajo de Grado Maestría Bioinformática/Versiones finales/Trabajo-grado-maestría/"/>
    </mc:Choice>
  </mc:AlternateContent>
  <xr:revisionPtr revIDLastSave="2035" documentId="8_{19EC4BD0-2851-465E-8228-8DE88C8D9355}" xr6:coauthVersionLast="47" xr6:coauthVersionMax="47" xr10:uidLastSave="{DD2BE954-0442-4DC1-8811-4EE8F0BF1A8E}"/>
  <bookViews>
    <workbookView xWindow="-108" yWindow="-108" windowWidth="23256" windowHeight="12456" firstSheet="3" activeTab="8" xr2:uid="{B661CC35-76E0-411D-BED5-FA521973F08B}"/>
  </bookViews>
  <sheets>
    <sheet name="Sexo_VF" sheetId="4" r:id="rId1"/>
    <sheet name="Edad_VF" sheetId="6" r:id="rId2"/>
    <sheet name="Supervivencia_VF" sheetId="8" r:id="rId3"/>
    <sheet name="Resultados sexo" sheetId="11" r:id="rId4"/>
    <sheet name="Resultados edad" sheetId="10" r:id="rId5"/>
    <sheet name="Resultados supervivencia" sheetId="9" r:id="rId6"/>
    <sheet name="DEPs" sheetId="12" r:id="rId7"/>
    <sheet name="Uniprot-API" sheetId="13" r:id="rId8"/>
    <sheet name="BiomaRt Ensembl" sheetId="15" r:id="rId9"/>
  </sheets>
  <definedNames>
    <definedName name="_xlnm._FilterDatabase" localSheetId="6" hidden="1">DEPs!$A$1:$A$54</definedName>
    <definedName name="_xlnm._FilterDatabase" localSheetId="1" hidden="1">Edad_VF!$A$1:$I$142</definedName>
    <definedName name="_xlnm._FilterDatabase" localSheetId="4" hidden="1">'Resultados edad'!$A$1:$K$142</definedName>
    <definedName name="_xlnm._FilterDatabase" localSheetId="3" hidden="1">'Resultados sexo'!$A$1:$K$140</definedName>
    <definedName name="_xlnm._FilterDatabase" localSheetId="5" hidden="1">'Resultados supervivencia'!$A$1:$K$114</definedName>
    <definedName name="_xlnm._FilterDatabase" localSheetId="2" hidden="1">Supervivencia_VF!$A$1:$H$1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6" i="10" l="1"/>
  <c r="C56" i="10"/>
  <c r="D54" i="10"/>
  <c r="C54" i="10"/>
  <c r="D42" i="10"/>
  <c r="C42" i="10"/>
  <c r="D36" i="10"/>
  <c r="C36" i="10"/>
  <c r="D33" i="10"/>
  <c r="C33" i="10"/>
  <c r="D31" i="10"/>
  <c r="C31" i="10"/>
  <c r="D29" i="10"/>
  <c r="C29" i="10"/>
  <c r="D28" i="10"/>
  <c r="C28" i="10"/>
  <c r="D22" i="10"/>
  <c r="C2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D42" i="9"/>
  <c r="C42" i="9"/>
  <c r="D41" i="9"/>
  <c r="C41" i="9"/>
  <c r="D36" i="9"/>
  <c r="C36" i="9"/>
  <c r="D32" i="9"/>
  <c r="C32" i="9"/>
  <c r="D29" i="9"/>
  <c r="C29" i="9"/>
  <c r="D26" i="9"/>
  <c r="C26" i="9"/>
  <c r="D19" i="9"/>
  <c r="C19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D58" i="11"/>
  <c r="D55" i="11"/>
  <c r="D53" i="11"/>
  <c r="D50" i="11"/>
  <c r="D49" i="11"/>
  <c r="D48" i="11"/>
  <c r="D42" i="11"/>
  <c r="D41" i="11"/>
  <c r="D40" i="11"/>
  <c r="D29" i="11"/>
  <c r="D28" i="11"/>
  <c r="D27" i="11"/>
  <c r="D15" i="11"/>
  <c r="D13" i="11"/>
  <c r="D12" i="11"/>
  <c r="D11" i="11"/>
  <c r="D10" i="11"/>
  <c r="D9" i="11"/>
  <c r="D8" i="11"/>
  <c r="D7" i="11"/>
  <c r="D6" i="11"/>
  <c r="D5" i="11"/>
  <c r="D4" i="11"/>
  <c r="D3" i="11"/>
  <c r="D2" i="11"/>
  <c r="C58" i="11"/>
  <c r="C55" i="11"/>
  <c r="C53" i="11"/>
  <c r="C50" i="11"/>
  <c r="C49" i="11"/>
  <c r="C48" i="11"/>
  <c r="C42" i="11"/>
  <c r="C41" i="11"/>
  <c r="C40" i="11"/>
  <c r="C29" i="11"/>
  <c r="C28" i="11"/>
  <c r="C27" i="11"/>
  <c r="C15" i="11"/>
  <c r="C13" i="11"/>
  <c r="C12" i="11"/>
  <c r="C11" i="11"/>
  <c r="C10" i="11"/>
  <c r="C9" i="11"/>
  <c r="C8" i="11"/>
  <c r="C7" i="11"/>
  <c r="C6" i="11"/>
  <c r="C5" i="11"/>
  <c r="C4" i="11"/>
  <c r="C3" i="11"/>
  <c r="C2" i="11"/>
  <c r="B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L10" i="12"/>
  <c r="L9" i="12"/>
  <c r="F102" i="8"/>
  <c r="G98" i="8"/>
  <c r="G96" i="8"/>
  <c r="G90" i="8"/>
  <c r="H89" i="8"/>
  <c r="F87" i="8"/>
  <c r="H79" i="8"/>
  <c r="H75" i="8"/>
  <c r="F74" i="8"/>
  <c r="G65" i="8"/>
  <c r="H59" i="8"/>
  <c r="F50" i="8"/>
  <c r="F49" i="8"/>
  <c r="H46" i="8"/>
  <c r="G45" i="8"/>
  <c r="H42" i="8"/>
  <c r="G41" i="8"/>
  <c r="F37" i="8"/>
  <c r="H36" i="8"/>
  <c r="F27" i="8"/>
  <c r="H22" i="8"/>
  <c r="F18" i="8"/>
  <c r="H15" i="8"/>
  <c r="G5" i="8"/>
  <c r="F2" i="8"/>
  <c r="C108" i="8"/>
  <c r="B103" i="8"/>
  <c r="D102" i="8"/>
  <c r="B99" i="8"/>
  <c r="D98" i="8"/>
  <c r="C89" i="8"/>
  <c r="C88" i="8"/>
  <c r="C86" i="8"/>
  <c r="D84" i="8"/>
  <c r="E84" i="8" s="1"/>
  <c r="C81" i="8"/>
  <c r="C77" i="8"/>
  <c r="D73" i="8"/>
  <c r="C72" i="8"/>
  <c r="D71" i="8"/>
  <c r="C68" i="8"/>
  <c r="C60" i="8"/>
  <c r="D58" i="8"/>
  <c r="C57" i="8"/>
  <c r="G56" i="8"/>
  <c r="C55" i="8"/>
  <c r="C45" i="8"/>
  <c r="C44" i="8"/>
  <c r="C42" i="8"/>
  <c r="G40" i="8"/>
  <c r="C40" i="8"/>
  <c r="C38" i="8"/>
  <c r="C32" i="8"/>
  <c r="B26" i="8"/>
  <c r="D24" i="8"/>
  <c r="D9" i="8"/>
  <c r="E5" i="8"/>
  <c r="D140" i="4"/>
  <c r="D139" i="4"/>
  <c r="G135" i="4"/>
  <c r="E133" i="4"/>
  <c r="G128" i="4"/>
  <c r="B125" i="4"/>
  <c r="D123" i="4"/>
  <c r="E122" i="4"/>
  <c r="F115" i="4"/>
  <c r="D114" i="4"/>
  <c r="E114" i="4" s="1"/>
  <c r="D113" i="4"/>
  <c r="D110" i="4"/>
  <c r="D100" i="4"/>
  <c r="H99" i="4"/>
  <c r="G90" i="4"/>
  <c r="H89" i="4"/>
  <c r="F88" i="4"/>
  <c r="F87" i="4"/>
  <c r="F86" i="4"/>
  <c r="B84" i="4"/>
  <c r="F83" i="4"/>
  <c r="G82" i="4"/>
  <c r="H80" i="4"/>
  <c r="G77" i="4"/>
  <c r="C74" i="4"/>
  <c r="F73" i="4"/>
  <c r="C71" i="4"/>
  <c r="C138" i="6"/>
  <c r="C137" i="6"/>
  <c r="C134" i="6"/>
  <c r="F129" i="6"/>
  <c r="I126" i="6"/>
  <c r="F125" i="6"/>
  <c r="H124" i="6"/>
  <c r="B124" i="6"/>
  <c r="B122" i="6"/>
  <c r="B120" i="6"/>
  <c r="F117" i="6"/>
  <c r="B117" i="6"/>
  <c r="G115" i="6"/>
  <c r="C113" i="6"/>
  <c r="G111" i="6"/>
  <c r="H109" i="6"/>
  <c r="H108" i="6"/>
  <c r="H106" i="6"/>
  <c r="H104" i="6"/>
  <c r="H103" i="6"/>
  <c r="B103" i="6"/>
  <c r="G99" i="6"/>
  <c r="I97" i="6"/>
  <c r="C95" i="6"/>
  <c r="H94" i="6"/>
  <c r="G93" i="6"/>
  <c r="B91" i="6"/>
  <c r="G89" i="6"/>
  <c r="C86" i="6"/>
  <c r="B85" i="6"/>
  <c r="B84" i="6"/>
  <c r="B80" i="6"/>
  <c r="G79" i="6"/>
  <c r="G78" i="6"/>
  <c r="H76" i="6"/>
  <c r="G75" i="6"/>
  <c r="D74" i="6"/>
  <c r="C72" i="6"/>
  <c r="C71" i="6"/>
  <c r="G70" i="6"/>
  <c r="E66" i="6"/>
  <c r="C65" i="6"/>
  <c r="E64" i="6"/>
  <c r="C63" i="6"/>
  <c r="C60" i="6"/>
  <c r="G59" i="6"/>
  <c r="C59" i="6"/>
  <c r="G58" i="6"/>
  <c r="G56" i="6"/>
  <c r="D55" i="6"/>
  <c r="G52" i="6"/>
  <c r="C52" i="6"/>
  <c r="G50" i="6"/>
  <c r="E50" i="6"/>
  <c r="D49" i="6"/>
  <c r="C47" i="6"/>
  <c r="G46" i="6"/>
  <c r="E46" i="6"/>
  <c r="C45" i="6"/>
  <c r="E45" i="6" s="1"/>
  <c r="G42" i="6"/>
  <c r="D40" i="6"/>
  <c r="G36" i="6"/>
  <c r="C36" i="6"/>
  <c r="C35" i="6"/>
  <c r="G33" i="6"/>
  <c r="C32" i="6"/>
  <c r="C31" i="6"/>
  <c r="F30" i="6"/>
  <c r="C30" i="6"/>
  <c r="F28" i="6"/>
  <c r="D28" i="6"/>
  <c r="H27" i="6"/>
  <c r="E25" i="6"/>
  <c r="G24" i="6"/>
  <c r="G22" i="6"/>
  <c r="G21" i="6"/>
  <c r="C21" i="6"/>
  <c r="E15" i="6"/>
  <c r="H12" i="6"/>
  <c r="E12" i="6"/>
  <c r="D9" i="6"/>
  <c r="H5" i="6"/>
  <c r="I5" i="6" s="1"/>
  <c r="C2" i="6"/>
</calcChain>
</file>

<file path=xl/sharedStrings.xml><?xml version="1.0" encoding="utf-8"?>
<sst xmlns="http://schemas.openxmlformats.org/spreadsheetml/2006/main" count="3759" uniqueCount="1134">
  <si>
    <t>Accesion</t>
  </si>
  <si>
    <t>Muestra 1</t>
  </si>
  <si>
    <t>Muestra 2</t>
  </si>
  <si>
    <t>Muestra 3</t>
  </si>
  <si>
    <t>Muestra 4</t>
  </si>
  <si>
    <t>Muestra 5</t>
  </si>
  <si>
    <t>Muestra 6</t>
  </si>
  <si>
    <t>Muestra 7</t>
  </si>
  <si>
    <t>Muestra 8</t>
  </si>
  <si>
    <t>P49822</t>
  </si>
  <si>
    <t>A0A8I3NCQ4</t>
  </si>
  <si>
    <t>A0A8I3MSG4</t>
  </si>
  <si>
    <t>A0A8I3N262</t>
  </si>
  <si>
    <t>A0A8I3NVK3</t>
  </si>
  <si>
    <t>A0A8I3P684</t>
  </si>
  <si>
    <t>A0A8I3Q3K3</t>
  </si>
  <si>
    <t>A0A1K0GGH0</t>
  </si>
  <si>
    <t>A0A8I3NFJ3</t>
  </si>
  <si>
    <t>A0A8I3NL87</t>
  </si>
  <si>
    <t>A0A8I3P0H1</t>
  </si>
  <si>
    <t>A0A8I3PB96</t>
  </si>
  <si>
    <t>A0A8I3N9N7</t>
  </si>
  <si>
    <t>A0A8I3Q4E9</t>
  </si>
  <si>
    <t>A0A8I3NHZ1</t>
  </si>
  <si>
    <t>A0A8I3P9P7</t>
  </si>
  <si>
    <t>A0A8I3P1L4</t>
  </si>
  <si>
    <t>A0A8I3NGP3</t>
  </si>
  <si>
    <t>A1ILJ0</t>
  </si>
  <si>
    <t>A0A8I3NR35</t>
  </si>
  <si>
    <t>E2RE76</t>
  </si>
  <si>
    <t>A0A8I3NBI7</t>
  </si>
  <si>
    <t>A0A8I3PIK8</t>
  </si>
  <si>
    <t>A0A5B8JID5</t>
  </si>
  <si>
    <t>A0A8I3NAM6</t>
  </si>
  <si>
    <t>A0A8I3PBR7</t>
  </si>
  <si>
    <t>A0A8I3N8K2</t>
  </si>
  <si>
    <t>A0A8I3RX37</t>
  </si>
  <si>
    <t>A0A8I3NYI8</t>
  </si>
  <si>
    <t>A0A8I3NZ15</t>
  </si>
  <si>
    <t>A0A8I3NCJ5</t>
  </si>
  <si>
    <t>A0A8I3MQ40</t>
  </si>
  <si>
    <t>A0A8I3PS70</t>
  </si>
  <si>
    <t>A0A8I3NTB5</t>
  </si>
  <si>
    <t>A0A8I3P8J2</t>
  </si>
  <si>
    <t>A0A8I3MYH9</t>
  </si>
  <si>
    <t>O18840</t>
  </si>
  <si>
    <t>A0A8I3NCZ8</t>
  </si>
  <si>
    <t>P18649</t>
  </si>
  <si>
    <t>A0A8I3NP20</t>
  </si>
  <si>
    <t>Q29393</t>
  </si>
  <si>
    <t>A0A8I3Q4C1</t>
  </si>
  <si>
    <t>A0A8I3NQW4</t>
  </si>
  <si>
    <t>A0A8I3N6K0</t>
  </si>
  <si>
    <t>A0A8I3NBI4</t>
  </si>
  <si>
    <t>A0A8I3P6Y9</t>
  </si>
  <si>
    <t>A0A8I3Q0F7</t>
  </si>
  <si>
    <t>A0A8I3MIR0</t>
  </si>
  <si>
    <t>A0A8I3PUT3</t>
  </si>
  <si>
    <t>A0A8I3NEG5</t>
  </si>
  <si>
    <t>A0A8I3NA23</t>
  </si>
  <si>
    <t>A0A8I3MG75</t>
  </si>
  <si>
    <t>A0A8I3MS75</t>
  </si>
  <si>
    <t>A0A8I3MKE1</t>
  </si>
  <si>
    <t>A0A8I3RVQ3</t>
  </si>
  <si>
    <t>A0A8I3S110</t>
  </si>
  <si>
    <t>A0A8I3MC47</t>
  </si>
  <si>
    <t>A0A8I3N4C3</t>
  </si>
  <si>
    <t>A0A8I3PAG4</t>
  </si>
  <si>
    <t>A0A8I3NMC7</t>
  </si>
  <si>
    <t>A0A8I3NH20</t>
  </si>
  <si>
    <t>A0A8I3PMF7</t>
  </si>
  <si>
    <t>A0A8I3NU27</t>
  </si>
  <si>
    <t>A0A8I3NXE5</t>
  </si>
  <si>
    <t>A0A8I3NBJ3</t>
  </si>
  <si>
    <t>A0A8I3MR78</t>
  </si>
  <si>
    <t>A0A8I3NS02</t>
  </si>
  <si>
    <t>A0A8I3MXY6</t>
  </si>
  <si>
    <t>A0A8I3Q5H9</t>
  </si>
  <si>
    <t>A0A8I3Q620</t>
  </si>
  <si>
    <t>A0A8I3S396</t>
  </si>
  <si>
    <t>A0A8I3S2Z8</t>
  </si>
  <si>
    <t>A0A8I3NSK9</t>
  </si>
  <si>
    <t>A0A8I3PNX9</t>
  </si>
  <si>
    <t>A0A8I3MHV0</t>
  </si>
  <si>
    <t>A0A8I3M9P4</t>
  </si>
  <si>
    <t>A0A8I3NTN1</t>
  </si>
  <si>
    <t>A0A8I3N7B3</t>
  </si>
  <si>
    <t>A0A8I3NCX8</t>
  </si>
  <si>
    <t>A0A8I3PXL2</t>
  </si>
  <si>
    <t>A0A8I3NY33</t>
  </si>
  <si>
    <t>A0A8I3N366</t>
  </si>
  <si>
    <t>A0A8I3MGB5</t>
  </si>
  <si>
    <t>A0A8I3RR88</t>
  </si>
  <si>
    <t>A0A8I3P7T5</t>
  </si>
  <si>
    <t>A0A8I3MKL7</t>
  </si>
  <si>
    <t>A0A1B1X468</t>
  </si>
  <si>
    <t>A0A8I3P092</t>
  </si>
  <si>
    <t>A0A8I3S7Z3</t>
  </si>
  <si>
    <t>A0A8I3NQA0</t>
  </si>
  <si>
    <t>A0A8I3NPS8</t>
  </si>
  <si>
    <t>A0A8I3PED8</t>
  </si>
  <si>
    <t>A0A8I3MJP4</t>
  </si>
  <si>
    <t>A0A8I3Q5N9</t>
  </si>
  <si>
    <t>A0A8I3N371</t>
  </si>
  <si>
    <t>E2R6K5</t>
  </si>
  <si>
    <t>A0A8I3NXI1</t>
  </si>
  <si>
    <t>A0A8I3NNP1</t>
  </si>
  <si>
    <t>Q6EIY9</t>
  </si>
  <si>
    <t>A0A8I3MXC1</t>
  </si>
  <si>
    <t>A0A8I3P6H2</t>
  </si>
  <si>
    <t>A0A8I3MEU8</t>
  </si>
  <si>
    <t>Q50KA9</t>
  </si>
  <si>
    <t>A0A8I3NDX1</t>
  </si>
  <si>
    <t>A0A8I3PG86</t>
  </si>
  <si>
    <t>A0A8I3PVT9</t>
  </si>
  <si>
    <t>A0A8I3PX06</t>
  </si>
  <si>
    <t>A0A8I3PCE5</t>
  </si>
  <si>
    <t>A0A8I3NP66</t>
  </si>
  <si>
    <t>A0A8I3PKH4</t>
  </si>
  <si>
    <t>A0A8I3MJD4</t>
  </si>
  <si>
    <t>A0A8I3P3Z6</t>
  </si>
  <si>
    <t>A0A8I3N7V2</t>
  </si>
  <si>
    <t>A0A8I3PZ27</t>
  </si>
  <si>
    <t>A0A8I3N9I4</t>
  </si>
  <si>
    <t>A0A8I3NPX8</t>
  </si>
  <si>
    <t>A0A8I3P237</t>
  </si>
  <si>
    <t>A0A8I3MWF5</t>
  </si>
  <si>
    <t>A0A8I3PRM7</t>
  </si>
  <si>
    <t>A0A5F4CSK0</t>
  </si>
  <si>
    <t>A0A8I3MGE3</t>
  </si>
  <si>
    <t>A0A8I3PJI1</t>
  </si>
  <si>
    <t>A0A8I3NT93</t>
  </si>
  <si>
    <t>A0A8I3NNR9</t>
  </si>
  <si>
    <t>A0A8I3PHY6</t>
  </si>
  <si>
    <t>A0A8I3NM03</t>
  </si>
  <si>
    <t>A0A8I3P1Z4</t>
  </si>
  <si>
    <t>A0A8I3PW93</t>
  </si>
  <si>
    <t>A0A8I3MJ33</t>
  </si>
  <si>
    <t>A0A8I3Q0B4</t>
  </si>
  <si>
    <t>A0A8I3NWQ3</t>
  </si>
  <si>
    <t>A0A8I3NSK4</t>
  </si>
  <si>
    <t>A0A8I3RWM1</t>
  </si>
  <si>
    <t>A0A8I3S0B7</t>
  </si>
  <si>
    <t>A0A8I3Q5W3</t>
  </si>
  <si>
    <t>A0A8I3P9E1</t>
  </si>
  <si>
    <t>A0A8I3PWN9</t>
  </si>
  <si>
    <t>A0A8I3S044</t>
  </si>
  <si>
    <t>A0A8I3RZV0</t>
  </si>
  <si>
    <t>P33703</t>
  </si>
  <si>
    <t>A0A8I3N8Y1</t>
  </si>
  <si>
    <t>P60529</t>
  </si>
  <si>
    <t>A0A8I3MGZ7</t>
  </si>
  <si>
    <t>A0A8I3PK78</t>
  </si>
  <si>
    <t>A0A8I3N5W6</t>
  </si>
  <si>
    <t>A0A8I3P1P3</t>
  </si>
  <si>
    <t>A0A8I3Q4P5</t>
  </si>
  <si>
    <t>A0A8I3N284</t>
  </si>
  <si>
    <t>A0A8I3MX03</t>
  </si>
  <si>
    <t>A0A8I3P6W9</t>
  </si>
  <si>
    <t>A0A8I3PIQ1</t>
  </si>
  <si>
    <t>A0A8I3MY05</t>
  </si>
  <si>
    <t>A0A8I3NK76</t>
  </si>
  <si>
    <t>A0A8I3MS95</t>
  </si>
  <si>
    <t>A0A8I3QCW7</t>
  </si>
  <si>
    <t>A0A8I3PAS0</t>
  </si>
  <si>
    <t>A0A8I3S6H4</t>
  </si>
  <si>
    <t>A0A8I3SC19</t>
  </si>
  <si>
    <t>A0A8I3RXV3</t>
  </si>
  <si>
    <t>A0A8I3NWM2</t>
  </si>
  <si>
    <t>P00011</t>
  </si>
  <si>
    <t>A0A8I3RP80</t>
  </si>
  <si>
    <t>A0A8I3N3S4</t>
  </si>
  <si>
    <t>A0A8I3NVY9</t>
  </si>
  <si>
    <t xml:space="preserve">Muestra 1 </t>
  </si>
  <si>
    <t xml:space="preserve">Muestra 3 </t>
  </si>
  <si>
    <t xml:space="preserve">Muestra 6 </t>
  </si>
  <si>
    <t xml:space="preserve">Muestra 7 </t>
  </si>
  <si>
    <t xml:space="preserve">Muestra 2 </t>
  </si>
  <si>
    <t xml:space="preserve">Muestra 4 </t>
  </si>
  <si>
    <t xml:space="preserve">Muestra 5 </t>
  </si>
  <si>
    <t xml:space="preserve">Muestra 8 </t>
  </si>
  <si>
    <t>Uniprot-API</t>
  </si>
  <si>
    <t>Ensembl</t>
  </si>
  <si>
    <t>logFC</t>
  </si>
  <si>
    <t>AveExpr</t>
  </si>
  <si>
    <t>t</t>
  </si>
  <si>
    <t>P.Value</t>
  </si>
  <si>
    <t>adj.P.Val</t>
  </si>
  <si>
    <t>B</t>
  </si>
  <si>
    <t>Regulacion</t>
  </si>
  <si>
    <t>Down en Hembra</t>
  </si>
  <si>
    <t>No significativo</t>
  </si>
  <si>
    <t>Up en Hembra</t>
  </si>
  <si>
    <t>Down en Corta</t>
  </si>
  <si>
    <t>Up en Corta</t>
  </si>
  <si>
    <t>Down en Geriatrico</t>
  </si>
  <si>
    <t>Up en Geriatrico</t>
  </si>
  <si>
    <t>Sexo+supervivencia</t>
  </si>
  <si>
    <t>Sexo+edad</t>
  </si>
  <si>
    <t>Edad+supervivencia</t>
  </si>
  <si>
    <t>Sexo+supervivencia+edad</t>
  </si>
  <si>
    <t>Sexo</t>
  </si>
  <si>
    <t>Supervivencia</t>
  </si>
  <si>
    <t>Edad</t>
  </si>
  <si>
    <t>TOTAL</t>
  </si>
  <si>
    <t>DUPLICADOS</t>
  </si>
  <si>
    <t>Gene</t>
  </si>
  <si>
    <t>Descripcion</t>
  </si>
  <si>
    <t>ENSCAFT00845030810.1</t>
  </si>
  <si>
    <t>Ig-like domain-containing protein</t>
  </si>
  <si>
    <t>CALD1</t>
  </si>
  <si>
    <t>ENSCAFT00845017697.1</t>
  </si>
  <si>
    <t>ALDOA</t>
  </si>
  <si>
    <t>ENSCAFT00845002945.1</t>
  </si>
  <si>
    <t>Fructose-bisphosphate aldolase</t>
  </si>
  <si>
    <t>ENSCAFT00845031249.1</t>
  </si>
  <si>
    <t>C3</t>
  </si>
  <si>
    <t>ENSCAFT00845018110.1</t>
  </si>
  <si>
    <t>Complement C3</t>
  </si>
  <si>
    <t>NME2</t>
  </si>
  <si>
    <t>ENSCAFT00845027098.1</t>
  </si>
  <si>
    <t>Nucleoside diphosphate kinase</t>
  </si>
  <si>
    <t>TALDO1</t>
  </si>
  <si>
    <t>ENSCAFT00845032096.1</t>
  </si>
  <si>
    <t>Transaldolase</t>
  </si>
  <si>
    <t>GALK1</t>
  </si>
  <si>
    <t>ENSCAFT00845015667.1</t>
  </si>
  <si>
    <t>Histone H3</t>
  </si>
  <si>
    <t>KRT75</t>
  </si>
  <si>
    <t>ENSCAFT00845044629.1</t>
  </si>
  <si>
    <t>FUBP1</t>
  </si>
  <si>
    <t>ENSCAFT00845005963.1</t>
  </si>
  <si>
    <t>Far upstream element-binding protein 1</t>
  </si>
  <si>
    <t>SOD2</t>
  </si>
  <si>
    <t>ENSCAFT00845003091.1</t>
  </si>
  <si>
    <t>Superoxide dismutase [Mn], mitochondrial</t>
  </si>
  <si>
    <t>MPO</t>
  </si>
  <si>
    <t>ENSCAFT00845032781.1</t>
  </si>
  <si>
    <t>Myeloperoxidase</t>
  </si>
  <si>
    <t>NES</t>
  </si>
  <si>
    <t>ENSCAFT00845014933.1</t>
  </si>
  <si>
    <t>FN1</t>
  </si>
  <si>
    <t>ENSCAFT00845039001.1</t>
  </si>
  <si>
    <t>Fibronectin</t>
  </si>
  <si>
    <t>COL1A2</t>
  </si>
  <si>
    <t>ENSCAFT00845030530.1</t>
  </si>
  <si>
    <t>ENSCAFT00845022797.1</t>
  </si>
  <si>
    <t>SERPINF1</t>
  </si>
  <si>
    <t>ENSCAFT00845024478.1</t>
  </si>
  <si>
    <t>APOA4</t>
  </si>
  <si>
    <t>ENSCAFT00845007736.1</t>
  </si>
  <si>
    <t>Apolipoprotein A-IV</t>
  </si>
  <si>
    <t>DPP7</t>
  </si>
  <si>
    <t>ENSCAFT00845043936.1</t>
  </si>
  <si>
    <t>Dipeptidyl peptidase 2</t>
  </si>
  <si>
    <t>PSMA4</t>
  </si>
  <si>
    <t>ENSCAFT00845023448.1</t>
  </si>
  <si>
    <t>Proteasome subunit alpha type</t>
  </si>
  <si>
    <t>TUBA1C</t>
  </si>
  <si>
    <t>ENSCAFT00845036871.1</t>
  </si>
  <si>
    <t>Tubulin alpha chain</t>
  </si>
  <si>
    <t>AHCY</t>
  </si>
  <si>
    <t>ENSCAFT00845028066.1</t>
  </si>
  <si>
    <t>Adenosylhomocysteinase</t>
  </si>
  <si>
    <t>OGN</t>
  </si>
  <si>
    <t>ENSCAFT00845043990.1</t>
  </si>
  <si>
    <t>Mimecan</t>
  </si>
  <si>
    <t>HBQ1</t>
  </si>
  <si>
    <t>ENSCAFT00845001517.1</t>
  </si>
  <si>
    <t>TPI1</t>
  </si>
  <si>
    <t>ENSCAFT00845047845.1</t>
  </si>
  <si>
    <t>Triosephosphate isomerase</t>
  </si>
  <si>
    <t>COQ10B</t>
  </si>
  <si>
    <t>ENSCAFT00845046446.1</t>
  </si>
  <si>
    <t>10 kDa heat shock protein, mitochondrial</t>
  </si>
  <si>
    <t>APOH</t>
  </si>
  <si>
    <t>ENSCAFT00000017923</t>
  </si>
  <si>
    <t>Beta-2-glycoprotein 1</t>
  </si>
  <si>
    <t>PABPC1L</t>
  </si>
  <si>
    <t>ENSCAFT00845025254.1</t>
  </si>
  <si>
    <t>CANT1</t>
  </si>
  <si>
    <t>ENSCAFT00845025603.1</t>
  </si>
  <si>
    <t>Galectin-3-binding protein</t>
  </si>
  <si>
    <t>PSMA2</t>
  </si>
  <si>
    <t>ENSCAFT00845031871.1</t>
  </si>
  <si>
    <t>SOD1</t>
  </si>
  <si>
    <t>ENSCAFT00845040105.1</t>
  </si>
  <si>
    <t>Superoxide dismutase [Cu-Zn]</t>
  </si>
  <si>
    <t>KCTD12</t>
  </si>
  <si>
    <t>ENSCAFT00845045957.1</t>
  </si>
  <si>
    <t>LOC119877479</t>
  </si>
  <si>
    <t>ENSCAFT00845051100.1</t>
  </si>
  <si>
    <t>Glyceraldehyde-3-phosphate dehydrogenase</t>
  </si>
  <si>
    <t>FMOD</t>
  </si>
  <si>
    <t>ENSCAFT00845034027.1</t>
  </si>
  <si>
    <t>Fibromodulin</t>
  </si>
  <si>
    <t>MARCKS</t>
  </si>
  <si>
    <t>ENSCAFT00845036515.1</t>
  </si>
  <si>
    <t>Myristoylated alanine-rich C-kinase substrate</t>
  </si>
  <si>
    <t>FGG</t>
  </si>
  <si>
    <t>ENSCAFT00845017343.1</t>
  </si>
  <si>
    <t>Fibrinogen gamma chain</t>
  </si>
  <si>
    <t>ENSCAFT00845030214.1</t>
  </si>
  <si>
    <t>H2BC26</t>
  </si>
  <si>
    <t>ENSCAFT00845012690.1</t>
  </si>
  <si>
    <t>Histone H2B</t>
  </si>
  <si>
    <t>DCN</t>
  </si>
  <si>
    <t>ENSCAFT00000009945</t>
  </si>
  <si>
    <t>Decorin</t>
  </si>
  <si>
    <t>LGALS7B</t>
  </si>
  <si>
    <t>ENSCAFT00845009053.1</t>
  </si>
  <si>
    <t>NME1</t>
  </si>
  <si>
    <t>ENSCAFT00000027420</t>
  </si>
  <si>
    <t>Nucleoside diphosphate kinase A</t>
  </si>
  <si>
    <t>ALPL</t>
  </si>
  <si>
    <t>ENSCAFT00845002731.1</t>
  </si>
  <si>
    <t>Alkaline phosphatase</t>
  </si>
  <si>
    <t>ARF1</t>
  </si>
  <si>
    <t>ENSCAFT00845013940.1</t>
  </si>
  <si>
    <t>ADP-ribosylation factor</t>
  </si>
  <si>
    <t>ITGB1</t>
  </si>
  <si>
    <t>ENSCAFT00845005381.1</t>
  </si>
  <si>
    <t>Integrin beta</t>
  </si>
  <si>
    <t>PRDX6</t>
  </si>
  <si>
    <t>ENSCAFT00845021559.1</t>
  </si>
  <si>
    <t>Peroxiredoxin-6</t>
  </si>
  <si>
    <t>ANXA2</t>
  </si>
  <si>
    <t>ENSCAFT00845030716.1</t>
  </si>
  <si>
    <t>Annexin</t>
  </si>
  <si>
    <t>PSMB1</t>
  </si>
  <si>
    <t>ENSCAFT00845040579.1</t>
  </si>
  <si>
    <t>Proteasome subunit beta</t>
  </si>
  <si>
    <t>ENO1</t>
  </si>
  <si>
    <t>ENSCAFT00845049921.1</t>
  </si>
  <si>
    <t>phosphopyruvate hydratase</t>
  </si>
  <si>
    <t>LCP1</t>
  </si>
  <si>
    <t>ENSCAFT00845014518.1</t>
  </si>
  <si>
    <t>APBB1</t>
  </si>
  <si>
    <t>ENSCAFT00845013897.1</t>
  </si>
  <si>
    <t>Hemopexin</t>
  </si>
  <si>
    <t>LOC100855903</t>
  </si>
  <si>
    <t>ENSCAFT00845019794.1</t>
  </si>
  <si>
    <t>14-3-3 domain-containing protein</t>
  </si>
  <si>
    <t>HBA</t>
  </si>
  <si>
    <t>Hemoglobin subunit alpha</t>
  </si>
  <si>
    <t>SERPINA3</t>
  </si>
  <si>
    <t>ENSCAFT00845005558.1</t>
  </si>
  <si>
    <t>APOE</t>
  </si>
  <si>
    <t>ENSCAFT00000092662</t>
  </si>
  <si>
    <t>Apolipoprotein E</t>
  </si>
  <si>
    <t>VCP</t>
  </si>
  <si>
    <t>ENSCAFT00845010030.1</t>
  </si>
  <si>
    <t>Transitional endoplasmic reticulum ATPase</t>
  </si>
  <si>
    <t>ARHGDIA</t>
  </si>
  <si>
    <t>ENSCAFT00845016227.1</t>
  </si>
  <si>
    <t>Rho GDP-dissociation inhibitor 1</t>
  </si>
  <si>
    <t>SPTAN1</t>
  </si>
  <si>
    <t>ENSCAFT00845049128.1</t>
  </si>
  <si>
    <t>Spectrin alpha chain, non-erythrocytic 1</t>
  </si>
  <si>
    <t>PRKCSH</t>
  </si>
  <si>
    <t>ENSCAFT00845033039.1</t>
  </si>
  <si>
    <t>Glucosidase 2 subunit beta</t>
  </si>
  <si>
    <t>PRDX1</t>
  </si>
  <si>
    <t>ENSCAFT00845040036.1</t>
  </si>
  <si>
    <t>Peroxiredoxin-1</t>
  </si>
  <si>
    <t>ITIH4</t>
  </si>
  <si>
    <t>ENSCAFT00845052228.1</t>
  </si>
  <si>
    <t>CD5L</t>
  </si>
  <si>
    <t>ENSCAFT00845023934.1</t>
  </si>
  <si>
    <t>FKBP10</t>
  </si>
  <si>
    <t>ENSCAFT00845020490.1</t>
  </si>
  <si>
    <t>peptidylprolyl isomerase</t>
  </si>
  <si>
    <t>ENSCAFT00845037077.1</t>
  </si>
  <si>
    <t>COL6A3</t>
  </si>
  <si>
    <t>ENSCAFT00845049682.1</t>
  </si>
  <si>
    <t>TXN</t>
  </si>
  <si>
    <t>ENSCAFT00845023474.1</t>
  </si>
  <si>
    <t>Thioredoxin</t>
  </si>
  <si>
    <t>ANXA1</t>
  </si>
  <si>
    <t>ENSCAFT00845000063.1</t>
  </si>
  <si>
    <t>ENSCAFT00845031332.1</t>
  </si>
  <si>
    <t>VIM</t>
  </si>
  <si>
    <t>ENSCAFT00845024849.1</t>
  </si>
  <si>
    <t>Vimentin</t>
  </si>
  <si>
    <t>HSPA5</t>
  </si>
  <si>
    <t>ENSCAFT00845016771.1</t>
  </si>
  <si>
    <t>Endoplasmic reticulum chaperone BIP</t>
  </si>
  <si>
    <t>LAMP2</t>
  </si>
  <si>
    <t>ENSCAFT00845039288.1</t>
  </si>
  <si>
    <t>Lysosome-associated membrane glycoprotein 2</t>
  </si>
  <si>
    <t>COL6A1</t>
  </si>
  <si>
    <t>ENSCAFT00845042470.1</t>
  </si>
  <si>
    <t>Collagen alpha-1(VI) chain</t>
  </si>
  <si>
    <t>CALR</t>
  </si>
  <si>
    <t>ENSCAFT00845027177.1</t>
  </si>
  <si>
    <t>Calreticulin</t>
  </si>
  <si>
    <t>HSP90AA1</t>
  </si>
  <si>
    <t>ENSCAFT00845009784.1</t>
  </si>
  <si>
    <t>SERPINA5</t>
  </si>
  <si>
    <t>ENSCAFT00845005529.1</t>
  </si>
  <si>
    <t>HSPD1</t>
  </si>
  <si>
    <t>ENSCAFT00845047733.1</t>
  </si>
  <si>
    <t>60 kDa heat shock protein, mitochondrial</t>
  </si>
  <si>
    <t>NPM1</t>
  </si>
  <si>
    <t>ENSCAFT00845003251.1</t>
  </si>
  <si>
    <t>Nucleophosmin</t>
  </si>
  <si>
    <t>FLNA</t>
  </si>
  <si>
    <t>ENSCAFT00845049849.1</t>
  </si>
  <si>
    <t>ENSCAFT00845049618.1</t>
  </si>
  <si>
    <t>PRDX2</t>
  </si>
  <si>
    <t>ENSCAFT00845028390.1</t>
  </si>
  <si>
    <t>Peroxiredoxin-2</t>
  </si>
  <si>
    <t>BGN</t>
  </si>
  <si>
    <t>ENSCAFT00845040694.1</t>
  </si>
  <si>
    <t>Biglycan</t>
  </si>
  <si>
    <t>AGT</t>
  </si>
  <si>
    <t>ENSCAFT00845001823.1</t>
  </si>
  <si>
    <t>Angiotensinogen</t>
  </si>
  <si>
    <t>TLN1</t>
  </si>
  <si>
    <t>ENSCAFT00845016370.1</t>
  </si>
  <si>
    <t>PLEC</t>
  </si>
  <si>
    <t>ENSCAFT00845011846.1</t>
  </si>
  <si>
    <t>Plectin</t>
  </si>
  <si>
    <t>YBX1</t>
  </si>
  <si>
    <t>ENSCAFT00845028714.1</t>
  </si>
  <si>
    <t>MYH9</t>
  </si>
  <si>
    <t>ENSCAFT00845015523.1</t>
  </si>
  <si>
    <t>Myosin-9</t>
  </si>
  <si>
    <t>HNRNPAB</t>
  </si>
  <si>
    <t>ENSCAFT00845017542.1</t>
  </si>
  <si>
    <t>Heterogeneous nuclear ribonucleoprotein A/B</t>
  </si>
  <si>
    <t>ANPEP</t>
  </si>
  <si>
    <t>ENSCAFT00845001074.1</t>
  </si>
  <si>
    <t>Aminopeptidase</t>
  </si>
  <si>
    <t>COL1A1</t>
  </si>
  <si>
    <t>ENSCAFT00845022288.1</t>
  </si>
  <si>
    <t>SERPINF2</t>
  </si>
  <si>
    <t>ENSCAFT00845026597.1</t>
  </si>
  <si>
    <t>VCL</t>
  </si>
  <si>
    <t>ENSCAFT00845016281.1</t>
  </si>
  <si>
    <t>Vinculin</t>
  </si>
  <si>
    <t>MAN2B1</t>
  </si>
  <si>
    <t>ENSCAFT00845030592.1</t>
  </si>
  <si>
    <t>Alpha-mannosidase</t>
  </si>
  <si>
    <t>P4HB</t>
  </si>
  <si>
    <t>ENSCAFT00845016396.1</t>
  </si>
  <si>
    <t>Protein disulfide-isomerase</t>
  </si>
  <si>
    <t>FGA</t>
  </si>
  <si>
    <t>ENSCAFT00845017181.1</t>
  </si>
  <si>
    <t>Fibrinogen alpha chain</t>
  </si>
  <si>
    <t>LOC609402</t>
  </si>
  <si>
    <t>ENSCAFT00845035780.1</t>
  </si>
  <si>
    <t>GC</t>
  </si>
  <si>
    <t>ENSCAFT00845021459.1</t>
  </si>
  <si>
    <t>Vitamin D-binding protein</t>
  </si>
  <si>
    <t>TTR</t>
  </si>
  <si>
    <t>ENSCAFT00845018714.1</t>
  </si>
  <si>
    <t>Transthyretin</t>
  </si>
  <si>
    <t>KNG1</t>
  </si>
  <si>
    <t>ENSCAFT00845037560.1</t>
  </si>
  <si>
    <t>Thiol proteinase inhibitor</t>
  </si>
  <si>
    <t>DHODH</t>
  </si>
  <si>
    <t>ENSCAFT00845014047.1</t>
  </si>
  <si>
    <t>Dihydroorotate dehydrogenase (quinone), mitochondrial</t>
  </si>
  <si>
    <t>ACTB</t>
  </si>
  <si>
    <t>ENSCAFT00845024003.1</t>
  </si>
  <si>
    <t>PDIA6</t>
  </si>
  <si>
    <t>ENSCAFT00845047695.1</t>
  </si>
  <si>
    <t>Protein disulfide-isomerase A6</t>
  </si>
  <si>
    <t>CP</t>
  </si>
  <si>
    <t>ENSCAFT00845041552.1</t>
  </si>
  <si>
    <t>Ceruloplasmin</t>
  </si>
  <si>
    <t>SKIC2</t>
  </si>
  <si>
    <t>ENSCAFT00845025354.1</t>
  </si>
  <si>
    <t>C4a anaphylatoxin</t>
  </si>
  <si>
    <t>AHNAK</t>
  </si>
  <si>
    <t>ENSCAFT00845017190.1</t>
  </si>
  <si>
    <t>TNC</t>
  </si>
  <si>
    <t>ENSCAFT00845020437.1</t>
  </si>
  <si>
    <t>Tenascin</t>
  </si>
  <si>
    <t>PRELP</t>
  </si>
  <si>
    <t>ENSCAFT00845034104.1</t>
  </si>
  <si>
    <t>LRG1</t>
  </si>
  <si>
    <t>ENSCAFT00845025896.1</t>
  </si>
  <si>
    <t>TPM4</t>
  </si>
  <si>
    <t>ENSCAFT00845054061.1</t>
  </si>
  <si>
    <t>Ras-related protein SEC4</t>
  </si>
  <si>
    <t>LUM</t>
  </si>
  <si>
    <t>ENSCAFT00845034726.1</t>
  </si>
  <si>
    <t>Lumican</t>
  </si>
  <si>
    <t>SERPINB1</t>
  </si>
  <si>
    <t>ENSCAFT00845030291.1</t>
  </si>
  <si>
    <t>ENSCAFT00845055111.1</t>
  </si>
  <si>
    <t>ENSCAFT00845025473.1</t>
  </si>
  <si>
    <t>Ferritin</t>
  </si>
  <si>
    <t>APOA1</t>
  </si>
  <si>
    <t>ENSCAFT00845007678.1</t>
  </si>
  <si>
    <t>Apolipoprotein A-I</t>
  </si>
  <si>
    <t>KTN1</t>
  </si>
  <si>
    <t>ENSCAFT00845028090.1</t>
  </si>
  <si>
    <t>HSP90B1</t>
  </si>
  <si>
    <t>ENSCAFT00845018351.1</t>
  </si>
  <si>
    <t>Endoplasmin</t>
  </si>
  <si>
    <t>SERPINC1</t>
  </si>
  <si>
    <t>ENSCAFT00845019973.1</t>
  </si>
  <si>
    <t>Antithrombin-III</t>
  </si>
  <si>
    <t>RRBP1</t>
  </si>
  <si>
    <t>ENSCAFT00845032630.1</t>
  </si>
  <si>
    <t>Ribosome-binding protein 1</t>
  </si>
  <si>
    <t>KRT10</t>
  </si>
  <si>
    <t>ENSCAFT00845024534.1</t>
  </si>
  <si>
    <t>Keratin, type I cytoskeletal 10</t>
  </si>
  <si>
    <t>LOC100685053</t>
  </si>
  <si>
    <t>ENSCAFT00845009392.1</t>
  </si>
  <si>
    <t>Ubiquitin-like domain-containing protein</t>
  </si>
  <si>
    <t>LOC477072</t>
  </si>
  <si>
    <t>ENSCAFT00845053451.1</t>
  </si>
  <si>
    <t>Serotransferrin</t>
  </si>
  <si>
    <t>NUCB2</t>
  </si>
  <si>
    <t>ENSCAFT00845025370.1</t>
  </si>
  <si>
    <t>KRT1</t>
  </si>
  <si>
    <t>Keratin, type II cytoskeletal 1</t>
  </si>
  <si>
    <t>SERPINH1</t>
  </si>
  <si>
    <t>ENSCAFT00845020181.1</t>
  </si>
  <si>
    <t>Serpin H1</t>
  </si>
  <si>
    <t>AHSG</t>
  </si>
  <si>
    <t>ENSCAFT00845036475.1</t>
  </si>
  <si>
    <t>Alpha-2-HS-glycoprotein</t>
  </si>
  <si>
    <t>TKT</t>
  </si>
  <si>
    <t>ENSCAFT00845050698.1</t>
  </si>
  <si>
    <t>transketolase</t>
  </si>
  <si>
    <t>A1BG</t>
  </si>
  <si>
    <t>ENSCAFT00845001134.1</t>
  </si>
  <si>
    <t>TPM3</t>
  </si>
  <si>
    <t>ENSCAFT00845027442.1</t>
  </si>
  <si>
    <t>Tropomyosin alpha-4 chain</t>
  </si>
  <si>
    <t>LOC100685620</t>
  </si>
  <si>
    <t>ENSCAFT00845017195.1</t>
  </si>
  <si>
    <t>Alpha-1-acid glycoprotein</t>
  </si>
  <si>
    <t>ENSCAFT00000095294</t>
  </si>
  <si>
    <t>Actin, cytoplasmic 1</t>
  </si>
  <si>
    <t>ALB</t>
  </si>
  <si>
    <t>Albumin</t>
  </si>
  <si>
    <t>LMNA</t>
  </si>
  <si>
    <t>ENSCAFT00845017958.1</t>
  </si>
  <si>
    <t>Prelamin-A/C</t>
  </si>
  <si>
    <t>ENSCAFT00845028073.1</t>
  </si>
  <si>
    <t>Histone H4</t>
  </si>
  <si>
    <t>SERPING1</t>
  </si>
  <si>
    <t>ENSCAFT00845036401.1</t>
  </si>
  <si>
    <t>ENSCAFT00845017821.1</t>
  </si>
  <si>
    <t>CKAP4</t>
  </si>
  <si>
    <t>ENSCAFT00845023451.1</t>
  </si>
  <si>
    <t>AFM</t>
  </si>
  <si>
    <t>ENSCAFT00845010622.1</t>
  </si>
  <si>
    <t>ENSCAFT00845033013.1</t>
  </si>
  <si>
    <t>DPYSL2</t>
  </si>
  <si>
    <t>ENSCAFT00845023373.1</t>
  </si>
  <si>
    <t>Dihydropyrimidinase-related protein 2</t>
  </si>
  <si>
    <t>CYCS</t>
  </si>
  <si>
    <t>ENSCAFT00000097490</t>
  </si>
  <si>
    <t>Cytochrome c</t>
  </si>
  <si>
    <t>RBP4</t>
  </si>
  <si>
    <t>ENSCAFT00845034407.1</t>
  </si>
  <si>
    <t>Plasma retinol-binding protein</t>
  </si>
  <si>
    <t>NUCB1</t>
  </si>
  <si>
    <t>ENSCAFT00845000899.1</t>
  </si>
  <si>
    <t>Nucleobindin-1</t>
  </si>
  <si>
    <t>TUBB</t>
  </si>
  <si>
    <t>ENSCAFT00845014007.1</t>
  </si>
  <si>
    <t>Tubulin beta chain</t>
  </si>
  <si>
    <t>EZR</t>
  </si>
  <si>
    <t>ENSCAFT00845002394.1</t>
  </si>
  <si>
    <t>A2M</t>
  </si>
  <si>
    <t>ENSCAFT00845050420.1</t>
  </si>
  <si>
    <t>Alpha-2-macroglobulin</t>
  </si>
  <si>
    <t>PSMB3</t>
  </si>
  <si>
    <t>ENSCAFT00845025153.1</t>
  </si>
  <si>
    <t>PGAM1</t>
  </si>
  <si>
    <t>ENSCAFT00845051460.1</t>
  </si>
  <si>
    <t>Phosphoglycerate mutase</t>
  </si>
  <si>
    <t>MTAP</t>
  </si>
  <si>
    <t>ENSCAFT00845028938.1</t>
  </si>
  <si>
    <t>S-methyl-5'-thioadenosine phosphorylase</t>
  </si>
  <si>
    <t>SFPQ</t>
  </si>
  <si>
    <t>ENSCAFT00845026937.1</t>
  </si>
  <si>
    <t>PSMA5</t>
  </si>
  <si>
    <t>ENSCAFT00845005248.1</t>
  </si>
  <si>
    <t>SET</t>
  </si>
  <si>
    <t>ENSCAFT00845047912.1</t>
  </si>
  <si>
    <t>LOC100684709</t>
  </si>
  <si>
    <t>ENSCAFT00845049151.1</t>
  </si>
  <si>
    <t>L-lactate dehydrogenase</t>
  </si>
  <si>
    <t>CA2</t>
  </si>
  <si>
    <t>ENSCAFT00845030685.1</t>
  </si>
  <si>
    <t>Carbonic anhydrase</t>
  </si>
  <si>
    <t>HSPA9</t>
  </si>
  <si>
    <t>ENSCAFT00845038866.1</t>
  </si>
  <si>
    <t>Stress-70 protein, mitochondrial</t>
  </si>
  <si>
    <t>TSNAX</t>
  </si>
  <si>
    <t>ENSCAFT00845000814.1</t>
  </si>
  <si>
    <t>Translin-associated protein X</t>
  </si>
  <si>
    <t>ENSCAFT00845027605.1</t>
  </si>
  <si>
    <t>thioredoxin-dependent peroxiredoxin</t>
  </si>
  <si>
    <t>ACAN</t>
  </si>
  <si>
    <t>ENSCAFT00845006672.1</t>
  </si>
  <si>
    <t>Aggrecan core protein</t>
  </si>
  <si>
    <t>GOT1</t>
  </si>
  <si>
    <t>ENSCAFT00845054700.1</t>
  </si>
  <si>
    <t>Aspartate aminotransferase</t>
  </si>
  <si>
    <t>ENSCAFT00845014294.1</t>
  </si>
  <si>
    <t>MAP4</t>
  </si>
  <si>
    <t>ENSCAFT00845014077.1</t>
  </si>
  <si>
    <t>Microtubule-associated protein</t>
  </si>
  <si>
    <t>HAPLN1</t>
  </si>
  <si>
    <t>ENSCAFT00845035164.1</t>
  </si>
  <si>
    <t>Hyaluronan and proteoglycan link protein 1</t>
  </si>
  <si>
    <t>TAGLN2</t>
  </si>
  <si>
    <t>ENSCAFT00845055007.1</t>
  </si>
  <si>
    <t>Transgelin</t>
  </si>
  <si>
    <t>uniprot_gn_id</t>
  </si>
  <si>
    <t>external_gene_name</t>
  </si>
  <si>
    <t>ensembl_gene_id</t>
  </si>
  <si>
    <t>ensembl_transcript_id</t>
  </si>
  <si>
    <t>description</t>
  </si>
  <si>
    <t>gene_biotype</t>
  </si>
  <si>
    <t>GLNA2</t>
  </si>
  <si>
    <t>ENSCAFG00845020234</t>
  </si>
  <si>
    <t>ENSCAFT00845035632</t>
  </si>
  <si>
    <t>protein_coding</t>
  </si>
  <si>
    <t>ENSCAFT00845035684</t>
  </si>
  <si>
    <t>ENSCAFT00845035729</t>
  </si>
  <si>
    <t>ENSCAFT00845035780</t>
  </si>
  <si>
    <t>ENSCAFT00845035819</t>
  </si>
  <si>
    <t>ENSCAFT00845035888</t>
  </si>
  <si>
    <t>ENSCAFT00845035936</t>
  </si>
  <si>
    <t>ENSCAFT00845035990</t>
  </si>
  <si>
    <t>ENSCAFT00845036033</t>
  </si>
  <si>
    <t>ENSCAFT00845036079</t>
  </si>
  <si>
    <t>ENSCAFG00845000903</t>
  </si>
  <si>
    <t>ENSCAFT00845001517</t>
  </si>
  <si>
    <t>ENSCAFT00845001533</t>
  </si>
  <si>
    <t>ENSCAFT00845001547</t>
  </si>
  <si>
    <t>ENSCAFT00845001557</t>
  </si>
  <si>
    <t>ENSCAFT00845001577</t>
  </si>
  <si>
    <t>ENSCAFT00845001592</t>
  </si>
  <si>
    <t>ENSCAFG00845015257</t>
  </si>
  <si>
    <t>ENSCAFT00845027226</t>
  </si>
  <si>
    <t>tropomyosin 3 [Source:NCBI gene (formerly Entrezgene);Acc:480137]</t>
  </si>
  <si>
    <t>ENSCAFT00845027235</t>
  </si>
  <si>
    <t>ENSCAFT00845027269</t>
  </si>
  <si>
    <t>ENSCAFT00845027289</t>
  </si>
  <si>
    <t>ENSCAFT00845027340</t>
  </si>
  <si>
    <t>ENSCAFT00845027403</t>
  </si>
  <si>
    <t>ENSCAFT00845027442</t>
  </si>
  <si>
    <t>ENSCAFT00845027475</t>
  </si>
  <si>
    <t>ENSCAFG00845000040</t>
  </si>
  <si>
    <t>ENSCAFT00845000063</t>
  </si>
  <si>
    <t>annexin A1 [Source:NCBI gene (formerly Entrezgene);Acc:476322]</t>
  </si>
  <si>
    <t>ENSCAFG00845000639</t>
  </si>
  <si>
    <t>ENSCAFT00845001074</t>
  </si>
  <si>
    <t>alanyl aminopeptidase, membrane [Source:NCBI gene (formerly Entrezgene);Acc:403913]</t>
  </si>
  <si>
    <t>ENSCAFT00845001107</t>
  </si>
  <si>
    <t>ENSCAFT00845001119</t>
  </si>
  <si>
    <t>ENSCAFT00845001180</t>
  </si>
  <si>
    <t>ENSCAFG00845001853</t>
  </si>
  <si>
    <t>ENSCAFT00845003251</t>
  </si>
  <si>
    <t>nucleophosmin 1 [Source:NCBI gene (formerly Entrezgene);Acc:479292]</t>
  </si>
  <si>
    <t>ENSCAFT00845003264</t>
  </si>
  <si>
    <t>ENSCAFT00845003277</t>
  </si>
  <si>
    <t>ENSCAFG00845001491</t>
  </si>
  <si>
    <t>ENSCAFT00845002711</t>
  </si>
  <si>
    <t>alkaline phosphatase, biomineralization associated [Source:NCBI gene (formerly Entrezgene);Acc:403548]</t>
  </si>
  <si>
    <t>ENSCAFT00845002716</t>
  </si>
  <si>
    <t>ENSCAFT00845002731</t>
  </si>
  <si>
    <t>ENSCAFG00845002947</t>
  </si>
  <si>
    <t>ENSCAFT00845005381</t>
  </si>
  <si>
    <t>ENSCAFT00845005404</t>
  </si>
  <si>
    <t>ENSCAFT00845005439</t>
  </si>
  <si>
    <t>ENSCAFG00845003294</t>
  </si>
  <si>
    <t>ENSCAFT00845005963</t>
  </si>
  <si>
    <t>far upstream element binding protein 1 [Source:VGNC Symbol;Acc:VGNC:111504]</t>
  </si>
  <si>
    <t>ENSCAFT00845005975</t>
  </si>
  <si>
    <t>ENSCAFT00845006004</t>
  </si>
  <si>
    <t>ENSCAFT00845006018</t>
  </si>
  <si>
    <t>ENSCAFT00845006049</t>
  </si>
  <si>
    <t>ENSCAFG00845001754</t>
  </si>
  <si>
    <t>ENSCAFT00845003067</t>
  </si>
  <si>
    <t>superoxide dismutase 2 [Source:HGNC Symbol;Acc:HGNC:11180]</t>
  </si>
  <si>
    <t>ENSCAFT00845003078</t>
  </si>
  <si>
    <t>ENSCAFT00845003091</t>
  </si>
  <si>
    <t>ENSCAFT00845003108</t>
  </si>
  <si>
    <t>ENSCAFT00845003115</t>
  </si>
  <si>
    <t>ENSCAFT00845003130</t>
  </si>
  <si>
    <t>ENSCAFG00845003163</t>
  </si>
  <si>
    <t>ENSCAFT00845005558</t>
  </si>
  <si>
    <t>serpin family A member 3 [Source:VGNC Symbol;Acc:VGNC:111717]</t>
  </si>
  <si>
    <t>ENSCAFG00845001373</t>
  </si>
  <si>
    <t>ENSCAFT00845002394</t>
  </si>
  <si>
    <t>ezrin [Source:NCBI gene (formerly Entrezgene);Acc:484056]</t>
  </si>
  <si>
    <t>ENSCAFG00845003146</t>
  </si>
  <si>
    <t>ENSCAFT00845005529</t>
  </si>
  <si>
    <t>serpin family A member 5 [Source:HGNC Symbol;Acc:HGNC:8723]</t>
  </si>
  <si>
    <t>ACTN4</t>
  </si>
  <si>
    <t>ENSCAFG00845005045</t>
  </si>
  <si>
    <t>ENSCAFT00845009038</t>
  </si>
  <si>
    <t>ENSCAFT00845009042</t>
  </si>
  <si>
    <t>ENSCAFT00845009053</t>
  </si>
  <si>
    <t>ENSCAFT00845009061</t>
  </si>
  <si>
    <t>ENSCAFT00845009074</t>
  </si>
  <si>
    <t>ENSCAFG00845003711</t>
  </si>
  <si>
    <t>ENSCAFT00845006672</t>
  </si>
  <si>
    <t>aggrecan [Source:NCBI gene (formerly Entrezgene);Acc:403828]</t>
  </si>
  <si>
    <t>ENSCAFT00845006689</t>
  </si>
  <si>
    <t>ENSCAFT00845006716</t>
  </si>
  <si>
    <t>ENSCAFG00845004266</t>
  </si>
  <si>
    <t>ENSCAFT00845007678</t>
  </si>
  <si>
    <t>apolipoprotein A1 [Source:HGNC Symbol;Acc:HGNC:600]</t>
  </si>
  <si>
    <t>ENSCAFG00845005647</t>
  </si>
  <si>
    <t>ENSCAFT00845010017</t>
  </si>
  <si>
    <t>valosin containing protein [Source:HGNC Symbol;Acc:HGNC:12666]</t>
  </si>
  <si>
    <t>ENSCAFT00845010030</t>
  </si>
  <si>
    <t>ENSCAFG00845007968</t>
  </si>
  <si>
    <t>ENSCAFT00845014047</t>
  </si>
  <si>
    <t>ENSCAFT00845014141</t>
  </si>
  <si>
    <t>ENSCAFT00845014228</t>
  </si>
  <si>
    <t>ENSCAFT00845014294</t>
  </si>
  <si>
    <t>ENSCAFT00845014315</t>
  </si>
  <si>
    <t>ENSCAFT00845014335</t>
  </si>
  <si>
    <t>ENSCAFG00845008232</t>
  </si>
  <si>
    <t>ENSCAFT00845014518</t>
  </si>
  <si>
    <t>lymphocyte cytosolic protein 1 [Source:HGNC Symbol;Acc:HGNC:6528]</t>
  </si>
  <si>
    <t>ENSCAFT00845014584</t>
  </si>
  <si>
    <t>ENSCAFT00845014678</t>
  </si>
  <si>
    <t>ENSCAFG00845005266</t>
  </si>
  <si>
    <t>ENSCAFT00845009392</t>
  </si>
  <si>
    <t>ENSCAFG00845007927</t>
  </si>
  <si>
    <t>ENSCAFT00845013946</t>
  </si>
  <si>
    <t>tubulin beta class I [Source:VGNC Symbol;Acc:VGNC:110552]</t>
  </si>
  <si>
    <t>ENSCAFT00845013979</t>
  </si>
  <si>
    <t>ENSCAFT00845014007</t>
  </si>
  <si>
    <t>ENSCAFT00845014048</t>
  </si>
  <si>
    <t>ENSCAFG00845007720</t>
  </si>
  <si>
    <t>ENSCAFT00845013581</t>
  </si>
  <si>
    <t>microtubule associated protein 4 [Source:HGNC Symbol;Acc:HGNC:6862]</t>
  </si>
  <si>
    <t>ENSCAFT00845013721</t>
  </si>
  <si>
    <t>ENSCAFT00845013838</t>
  </si>
  <si>
    <t>ENSCAFT00845013956</t>
  </si>
  <si>
    <t>ENSCAFT00845014077</t>
  </si>
  <si>
    <t>ENSCAFT00845014244</t>
  </si>
  <si>
    <t>ENSCAFT00845014326</t>
  </si>
  <si>
    <t>ENSCAFT00845014439</t>
  </si>
  <si>
    <t>ENSCAFT00845014477</t>
  </si>
  <si>
    <t>ENSCAFT00845014522</t>
  </si>
  <si>
    <t>ENSCAFG00845007924</t>
  </si>
  <si>
    <t>ENSCAFT00845013940</t>
  </si>
  <si>
    <t>ARF GTPase 1 [Source:NCBI gene (formerly Entrezgene);Acc:100856517]</t>
  </si>
  <si>
    <t>ENSCAFG00845009991</t>
  </si>
  <si>
    <t>ENSCAFT00845017561</t>
  </si>
  <si>
    <t>caldesmon 1 [Source:HGNC Symbol;Acc:HGNC:1441]</t>
  </si>
  <si>
    <t>ENSCAFT00845017611</t>
  </si>
  <si>
    <t>ENSCAFT00845017697</t>
  </si>
  <si>
    <t>ENSCAFG00845009262</t>
  </si>
  <si>
    <t>ENSCAFT00845016370</t>
  </si>
  <si>
    <t>talin 1 [Source:HGNC Symbol;Acc:HGNC:11845]</t>
  </si>
  <si>
    <t>ENSCAFG00845009183</t>
  </si>
  <si>
    <t>ENSCAFT00845016281</t>
  </si>
  <si>
    <t>vinculin [Source:HGNC Symbol;Acc:HGNC:12665]</t>
  </si>
  <si>
    <t>ENSCAFT00845016400</t>
  </si>
  <si>
    <t>ENSCAFT00845016464</t>
  </si>
  <si>
    <t>ENSCAFT00845016510</t>
  </si>
  <si>
    <t>ENSCAFT00845016580</t>
  </si>
  <si>
    <t>ENSCAFT00845016632</t>
  </si>
  <si>
    <t>ENSCAFG00845011365</t>
  </si>
  <si>
    <t>ENSCAFT00845020139</t>
  </si>
  <si>
    <t>serpin family H member 1 [Source:NCBI gene (formerly Entrezgene);Acc:485187]</t>
  </si>
  <si>
    <t>ENSCAFT00845020181</t>
  </si>
  <si>
    <t>ENSCAFT00845020225</t>
  </si>
  <si>
    <t>ENSCAFG00845009974</t>
  </si>
  <si>
    <t>ENSCAFT00845017542</t>
  </si>
  <si>
    <t>heterogeneous nuclear ribonucleoprotein A/B [Source:HGNC Symbol;Acc:HGNC:5034]</t>
  </si>
  <si>
    <t>ENSCAFT00845017579</t>
  </si>
  <si>
    <t>ENSCAFG00845009858</t>
  </si>
  <si>
    <t>ENSCAFT00845017343</t>
  </si>
  <si>
    <t>fibrinogen gamma chain [Source:HGNC Symbol;Acc:HGNC:3694]</t>
  </si>
  <si>
    <t>ENSCAFT00845017402</t>
  </si>
  <si>
    <t>ENSCAFG00845010582</t>
  </si>
  <si>
    <t>ENSCAFT00845018837</t>
  </si>
  <si>
    <t>tenascin C [Source:NCBI gene (formerly Entrezgene);Acc:481689]</t>
  </si>
  <si>
    <t>ENSCAFT00845019032</t>
  </si>
  <si>
    <t>ENSCAFT00845019345</t>
  </si>
  <si>
    <t>ENSCAFT00845019542</t>
  </si>
  <si>
    <t>ENSCAFT00845019842</t>
  </si>
  <si>
    <t>ENSCAFT00845019976</t>
  </si>
  <si>
    <t>ENSCAFT00845020137</t>
  </si>
  <si>
    <t>ENSCAFT00845020337</t>
  </si>
  <si>
    <t>ENSCAFT00845020437</t>
  </si>
  <si>
    <t>ENSCAFT00845020520</t>
  </si>
  <si>
    <t>ENSCAFG00845008811</t>
  </si>
  <si>
    <t>ENSCAFT00845015523</t>
  </si>
  <si>
    <t>myosin heavy chain 9 [Source:VGNC Symbol;Acc:VGNC:43540]</t>
  </si>
  <si>
    <t>ENSCAFT00845015600</t>
  </si>
  <si>
    <t>ENSCAFT00845015628</t>
  </si>
  <si>
    <t>ENSCAFG00845010421</t>
  </si>
  <si>
    <t>ENSCAFT00845018351</t>
  </si>
  <si>
    <t>heat shock protein 90 beta family member 1 [Source:NCBI gene (formerly Entrezgene);Acc:404019]</t>
  </si>
  <si>
    <t>ENSCAFT00845018488</t>
  </si>
  <si>
    <t>ENSCAFT00845018625</t>
  </si>
  <si>
    <t>ENSCAFG00845009765</t>
  </si>
  <si>
    <t>ENSCAFT00845017195</t>
  </si>
  <si>
    <t>ENSCAFG00845010163</t>
  </si>
  <si>
    <t>ENSCAFT00845017958</t>
  </si>
  <si>
    <t>lamin A/C [Source:NCBI gene (formerly Entrezgene);Acc:480124]</t>
  </si>
  <si>
    <t>ENSCAFT00845018037</t>
  </si>
  <si>
    <t>ENSCAFG00845012014</t>
  </si>
  <si>
    <t>ENSCAFT00845021459</t>
  </si>
  <si>
    <t>GC vitamin D binding protein [Source:HGNC Symbol;Acc:HGNC:4187]</t>
  </si>
  <si>
    <t>ENSCAFT00845021518</t>
  </si>
  <si>
    <t>ENSCAFT00845021552</t>
  </si>
  <si>
    <t>ENSCAFT00845021579</t>
  </si>
  <si>
    <t>ENSCAFG00845014055</t>
  </si>
  <si>
    <t>ENSCAFT00845025155</t>
  </si>
  <si>
    <t>ENSCAFT00845025247</t>
  </si>
  <si>
    <t>ENSCAFT00845025269</t>
  </si>
  <si>
    <t>ENSCAFT00845025354</t>
  </si>
  <si>
    <t>ENSCAFT00845025439</t>
  </si>
  <si>
    <t>ENSCAFT00845025556</t>
  </si>
  <si>
    <t>ENSCAFT00845025640</t>
  </si>
  <si>
    <t>ENSCAFG00845013739</t>
  </si>
  <si>
    <t>ENSCAFT00845024534</t>
  </si>
  <si>
    <t>keratin 10 [Source:HGNC Symbol;Acc:HGNC:6413]</t>
  </si>
  <si>
    <t>ENSCAFG00845015220</t>
  </si>
  <si>
    <t>ENSCAFT00845027177</t>
  </si>
  <si>
    <t>calreticulin [Source:HGNC Symbol;Acc:HGNC:1455]</t>
  </si>
  <si>
    <t>ENSCAFG00845013892</t>
  </si>
  <si>
    <t>ENSCAFT00845024814</t>
  </si>
  <si>
    <t>vimentin [Source:NCBI gene (formerly Entrezgene);Acc:477991]</t>
  </si>
  <si>
    <t>ENSCAFT00845024849</t>
  </si>
  <si>
    <t>ENSCAFG00845013099</t>
  </si>
  <si>
    <t>ENSCAFT00845023373</t>
  </si>
  <si>
    <t>dihydropyrimidinase like 2 [Source:HGNC Symbol;Acc:HGNC:3014]</t>
  </si>
  <si>
    <t>ENSCAFT00845023519</t>
  </si>
  <si>
    <t>ENSCAFG00845013139</t>
  </si>
  <si>
    <t>ENSCAFT00845023448</t>
  </si>
  <si>
    <t>ENSCAFT00845023493</t>
  </si>
  <si>
    <t>ENSCAFT00845023517</t>
  </si>
  <si>
    <t>ENSCAFG00845016135</t>
  </si>
  <si>
    <t>ENSCAFT00845028714</t>
  </si>
  <si>
    <t>ENSCAFG00845013183</t>
  </si>
  <si>
    <t>ENSCAFT00845023474</t>
  </si>
  <si>
    <t>ENSCAFT00845023481</t>
  </si>
  <si>
    <t>ENSCAFT00845023496</t>
  </si>
  <si>
    <t>ENSCAFG00845013426</t>
  </si>
  <si>
    <t>ENSCAFT00845023934</t>
  </si>
  <si>
    <t>CD5 molecule like [Source:NCBI gene (formerly Entrezgene);Acc:609953]</t>
  </si>
  <si>
    <t>ENSCAFT00845023951</t>
  </si>
  <si>
    <t>ENSCAFT00845023958</t>
  </si>
  <si>
    <t>ENSCAFG00845013172</t>
  </si>
  <si>
    <t>ENSCAFT00845023451</t>
  </si>
  <si>
    <t>cytoskeleton associated protein 4 [Source:HGNC Symbol;Acc:HGNC:16991]</t>
  </si>
  <si>
    <t>ENSCAFG00845017174</t>
  </si>
  <si>
    <t>ENSCAFT00845030421</t>
  </si>
  <si>
    <t>ENSCAFT00845030592</t>
  </si>
  <si>
    <t>ENSCAFT00845030764</t>
  </si>
  <si>
    <t>ENSCAFT00845030987</t>
  </si>
  <si>
    <t>YWHAB</t>
  </si>
  <si>
    <t>ENSCAFG00845014122</t>
  </si>
  <si>
    <t>ENSCAFT00845025254</t>
  </si>
  <si>
    <t>poly(A) binding protein cytoplasmic 1 like [Source:HGNC Symbol;Acc:HGNC:15797]</t>
  </si>
  <si>
    <t>ENSCAFT00845025266</t>
  </si>
  <si>
    <t>ENSCAFT00845025293</t>
  </si>
  <si>
    <t>ENSCAFT00845025304</t>
  </si>
  <si>
    <t>ENSCAFT00845025376</t>
  </si>
  <si>
    <t>ENSCAFT00845025387</t>
  </si>
  <si>
    <t>ENSCAFG00845014171</t>
  </si>
  <si>
    <t>ENSCAFT00845025370</t>
  </si>
  <si>
    <t>nucleobindin 2 [Source:HGNC Symbol;Acc:HGNC:8044]</t>
  </si>
  <si>
    <t>ENSCAFT00845025377</t>
  </si>
  <si>
    <t>ENSCAFG00845014474</t>
  </si>
  <si>
    <t>ENSCAFT00845025896</t>
  </si>
  <si>
    <t>leucine rich alpha-2-glycoprotein 1 [Source:HGNC Symbol;Acc:HGNC:29480]</t>
  </si>
  <si>
    <t>ENSCAFG00845015173</t>
  </si>
  <si>
    <t>ENSCAFT00845027098</t>
  </si>
  <si>
    <t>non-metastatic cells 2, protein (NM23B) expressed in [Source:NCBI gene (formerly Entrezgene);Acc:480559]</t>
  </si>
  <si>
    <t>ENSCAFG00845016288</t>
  </si>
  <si>
    <t>ENSCAFT00845028938</t>
  </si>
  <si>
    <t>methylthioadenosine phosphorylase [Source:HGNC Symbol;Acc:HGNC:7413]</t>
  </si>
  <si>
    <t>ENSCAFT00845028975</t>
  </si>
  <si>
    <t>ENSCAFG00845015756</t>
  </si>
  <si>
    <t>ENSCAFT00845028066</t>
  </si>
  <si>
    <t>ENSCAFG00845019303</t>
  </si>
  <si>
    <t>ENSCAFT00845034027</t>
  </si>
  <si>
    <t>fibromodulin [Source:HGNC Symbol;Acc:HGNC:3774]</t>
  </si>
  <si>
    <t>ENSCAFT00845034065</t>
  </si>
  <si>
    <t>ENSCAFG00845015946</t>
  </si>
  <si>
    <t>ENSCAFT00845028368</t>
  </si>
  <si>
    <t>peroxiredoxin 2 [Source:HGNC Symbol;Acc:HGNC:9353]</t>
  </si>
  <si>
    <t>ENSCAFT00845028390</t>
  </si>
  <si>
    <t>ENSCAFG00845017325</t>
  </si>
  <si>
    <t>ENSCAFT00845030685</t>
  </si>
  <si>
    <t>carbonic anhydrase 2 [Source:NCBI gene (formerly Entrezgene);Acc:477928]</t>
  </si>
  <si>
    <t>ENSCAFT00845030788</t>
  </si>
  <si>
    <t>ENSCAFG00845017905</t>
  </si>
  <si>
    <t>ENSCAFT00845032413</t>
  </si>
  <si>
    <t>ribosome binding protein 1 [Source:HGNC Symbol;Acc:HGNC:10448]</t>
  </si>
  <si>
    <t>ENSCAFT00845032630</t>
  </si>
  <si>
    <t>ENSCAFT00845032824</t>
  </si>
  <si>
    <t>ENSCAFT00845033013</t>
  </si>
  <si>
    <t>ENSCAFG00845017038</t>
  </si>
  <si>
    <t>ENSCAFT00845030214</t>
  </si>
  <si>
    <t>collagen type I alpha 2 chain [Source:NCBI gene (formerly Entrezgene);Acc:403824]</t>
  </si>
  <si>
    <t>ENSCAFT00845030318</t>
  </si>
  <si>
    <t>ENSCAFT00845030530</t>
  </si>
  <si>
    <t>ENSCAFT00845030896</t>
  </si>
  <si>
    <t>ENSCAFT00845031307</t>
  </si>
  <si>
    <t>ENSCAFT00845031578</t>
  </si>
  <si>
    <t>ENSCAFG00845017116</t>
  </si>
  <si>
    <t>ENSCAFT00845030291</t>
  </si>
  <si>
    <t>serpin family B member 1 [Source:HGNC Symbol;Acc:HGNC:3311]</t>
  </si>
  <si>
    <t>ENSCAFT00845030333</t>
  </si>
  <si>
    <t>ENSCAFG00845018137</t>
  </si>
  <si>
    <t>ENSCAFT00845032096</t>
  </si>
  <si>
    <t>transaldolase 1 [Source:HGNC Symbol;Acc:HGNC:11559]</t>
  </si>
  <si>
    <t>ENSCAFT00845032169</t>
  </si>
  <si>
    <t>ENSCAFG00845019701</t>
  </si>
  <si>
    <t>ENSCAFT00845034726</t>
  </si>
  <si>
    <t>lumican [Source:HGNC Symbol;Acc:HGNC:6724]</t>
  </si>
  <si>
    <t>ENSCAFG00845018673</t>
  </si>
  <si>
    <t>ENSCAFT00845033039</t>
  </si>
  <si>
    <t>PRKCSH beta subunit of glucosidase II [Source:HGNC Symbol;Acc:HGNC:9411]</t>
  </si>
  <si>
    <t>ENSCAFT00845033148</t>
  </si>
  <si>
    <t>ENSCAFG00845017171</t>
  </si>
  <si>
    <t>ENSCAFT00845030455</t>
  </si>
  <si>
    <t>annexin A2 [Source:VGNC Symbol;Acc:VGNC:111338]</t>
  </si>
  <si>
    <t>ENSCAFT00845030586</t>
  </si>
  <si>
    <t>ENSCAFT00845030716</t>
  </si>
  <si>
    <t>ENSCAFG00845020645</t>
  </si>
  <si>
    <t>ENSCAFT00845036401</t>
  </si>
  <si>
    <t>serpin family G member 1 [Source:HGNC Symbol;Acc:HGNC:1228]</t>
  </si>
  <si>
    <t>ENSCAFT00845036459</t>
  </si>
  <si>
    <t>ENSCAFT00845036544</t>
  </si>
  <si>
    <t>ENSCAFG00845020819</t>
  </si>
  <si>
    <t>ENSCAFT00845036702</t>
  </si>
  <si>
    <t>ENSCAFT00845036761</t>
  </si>
  <si>
    <t>ENSCAFT00845036824</t>
  </si>
  <si>
    <t>ENSCAFT00845036871</t>
  </si>
  <si>
    <t>ENSCAFT00845036913</t>
  </si>
  <si>
    <t>ENSCAFT00845036972</t>
  </si>
  <si>
    <t>ENSCAFG00845019496</t>
  </si>
  <si>
    <t>ENSCAFT00845034364</t>
  </si>
  <si>
    <t>ENSCAFT00845034407</t>
  </si>
  <si>
    <t>ENSCAFG00845019962</t>
  </si>
  <si>
    <t>ENSCAFT00845035164</t>
  </si>
  <si>
    <t>hyaluronan and proteoglycan link protein 1 [Source:HGNC Symbol;Acc:HGNC:2380]</t>
  </si>
  <si>
    <t>ENSCAFG00845021120</t>
  </si>
  <si>
    <t>ENSCAFT00845037281</t>
  </si>
  <si>
    <t>kininogen 1 [Source:HGNC Symbol;Acc:HGNC:6383]</t>
  </si>
  <si>
    <t>ENSCAFT00845037560</t>
  </si>
  <si>
    <t>ENSCAFT00845037669</t>
  </si>
  <si>
    <t>ENSCAFG00845017988</t>
  </si>
  <si>
    <t>ENSCAFT00845031871</t>
  </si>
  <si>
    <t>proteasome 20S subunit alpha 2 [Source:HGNC Symbol;Acc:HGNC:9531]</t>
  </si>
  <si>
    <t>ENSCAFT00845031936</t>
  </si>
  <si>
    <t>ENSCAFG00845021985</t>
  </si>
  <si>
    <t>ENSCAFT00845039001</t>
  </si>
  <si>
    <t>fibronectin 1 [Source:HGNC Symbol;Acc:HGNC:3778]</t>
  </si>
  <si>
    <t>ENSCAFT00845039371</t>
  </si>
  <si>
    <t>ENSCAFT00845039851</t>
  </si>
  <si>
    <t>ENSCAFT00845040295</t>
  </si>
  <si>
    <t>ENSCAFT00845040700</t>
  </si>
  <si>
    <t>ENSCAFT00845041023</t>
  </si>
  <si>
    <t>ENSCAFG00845022593</t>
  </si>
  <si>
    <t>ENSCAFT00845039900</t>
  </si>
  <si>
    <t>peroxiredoxin 1 [Source:NCBI gene (formerly Entrezgene);Acc:475375]</t>
  </si>
  <si>
    <t>ENSCAFT00845039966</t>
  </si>
  <si>
    <t>ENSCAFT00845040036</t>
  </si>
  <si>
    <t>ENSCAFT00845040109</t>
  </si>
  <si>
    <t>ENSCAFT00845040132</t>
  </si>
  <si>
    <t>ENSCAFG00845023053</t>
  </si>
  <si>
    <t>ENSCAFT00845040694</t>
  </si>
  <si>
    <t>biglycan [Source:NCBI gene (formerly Entrezgene);Acc:403905]</t>
  </si>
  <si>
    <t>ENSCAFG00845020692</t>
  </si>
  <si>
    <t>ENSCAFT00845036475</t>
  </si>
  <si>
    <t>alpha 2-HS glycoprotein [Source:HGNC Symbol;Acc:HGNC:349]</t>
  </si>
  <si>
    <t>ENSCAFG00845022992</t>
  </si>
  <si>
    <t>ENSCAFT00845040579</t>
  </si>
  <si>
    <t>ENSCAFG00845023529</t>
  </si>
  <si>
    <t>ENSCAFT00845041552</t>
  </si>
  <si>
    <t>ceruloplasmin [Source:HGNC Symbol;Acc:HGNC:2295]</t>
  </si>
  <si>
    <t>ENSCAFT00845041654</t>
  </si>
  <si>
    <t>ENSCAFT00845041811</t>
  </si>
  <si>
    <t>ENSCAFG00845026337</t>
  </si>
  <si>
    <t>ENSCAFT00845046446</t>
  </si>
  <si>
    <t>coenzyme Q10B [Source:HGNC Symbol;Acc:HGNC:25819]</t>
  </si>
  <si>
    <t>ENSCAFT00845046509</t>
  </si>
  <si>
    <t>ENSCAFT00845046585</t>
  </si>
  <si>
    <t>ENSCAFT00845046659</t>
  </si>
  <si>
    <t>ENSCAFT00845046702</t>
  </si>
  <si>
    <t>ENSCAFT00845046746</t>
  </si>
  <si>
    <t>ENSCAFG00845027022</t>
  </si>
  <si>
    <t>ENSCAFT00845047845</t>
  </si>
  <si>
    <t>triosephosphate isomerase 1 [Source:NCBI gene (formerly Entrezgene);Acc:477711]</t>
  </si>
  <si>
    <t>ENSCAFG00845024930</t>
  </si>
  <si>
    <t>ENSCAFT00845043990</t>
  </si>
  <si>
    <t>osteoglycin [Source:HGNC Symbol;Acc:HGNC:8126]</t>
  </si>
  <si>
    <t>ENSCAFG00845028279</t>
  </si>
  <si>
    <t>ENSCAFT00845049887</t>
  </si>
  <si>
    <t>ENSCAFT00845049921</t>
  </si>
  <si>
    <t>ENSCAFG00845028105</t>
  </si>
  <si>
    <t>ENSCAFT00845049682</t>
  </si>
  <si>
    <t>collagen type VI alpha 3 chain [Source:NCBI gene (formerly Entrezgene);Acc:403582]</t>
  </si>
  <si>
    <t>ENSCAFT00845049779</t>
  </si>
  <si>
    <t>ENSCAFT00845049889</t>
  </si>
  <si>
    <t>ENSCAFT00845049985</t>
  </si>
  <si>
    <t>ENSCAFT00845050092</t>
  </si>
  <si>
    <t>ENSCAFG00845026049</t>
  </si>
  <si>
    <t>ENSCAFT00845045957</t>
  </si>
  <si>
    <t>potassium channel tetramerization domain containing 12 [Source:HGNC Symbol;Acc:HGNC:14678]</t>
  </si>
  <si>
    <t>ENSCAFG00845027075</t>
  </si>
  <si>
    <t>ENSCAFT00845047733</t>
  </si>
  <si>
    <t>heat shock protein family D (Hsp60) member 1 [Source:VGNC Symbol;Acc:VGNC:111526]</t>
  </si>
  <si>
    <t>ENSCAFT00845047787</t>
  </si>
  <si>
    <t>ENSCAFG00845026954</t>
  </si>
  <si>
    <t>ENSCAFT00845047695</t>
  </si>
  <si>
    <t>protein disulfide isomerase family A member 6 [Source:HGNC Symbol;Acc:HGNC:30168]</t>
  </si>
  <si>
    <t>ENSCAFT00845047819</t>
  </si>
  <si>
    <t>ENSCAFG00845030091</t>
  </si>
  <si>
    <t>ENSCAFT00845053320</t>
  </si>
  <si>
    <t>ENSCAFT00845053328</t>
  </si>
  <si>
    <t>ENSCAFT00845053363</t>
  </si>
  <si>
    <t>ENSCAFT00845053384</t>
  </si>
  <si>
    <t>ENSCAFT00845053412</t>
  </si>
  <si>
    <t>ENSCAFT00845053451</t>
  </si>
  <si>
    <t>ENSCAFT00845053459</t>
  </si>
  <si>
    <t>ENSCAFG00845028646</t>
  </si>
  <si>
    <t>ENSCAFT00845050595</t>
  </si>
  <si>
    <t>transketolase [Source:HGNC Symbol;Acc:HGNC:11834]</t>
  </si>
  <si>
    <t>ENSCAFT00845050672</t>
  </si>
  <si>
    <t>ENSCAFT00845050698</t>
  </si>
  <si>
    <t>RAB8A</t>
  </si>
  <si>
    <t>ENSCAFG00845030471</t>
  </si>
  <si>
    <t>ENSCAFT00845054061</t>
  </si>
  <si>
    <t>RAB8A, member RAS onco family [Source:NCBI gene (formerly Entrezgene);Acc:403773]</t>
  </si>
  <si>
    <t>ENSCAFT00845054077</t>
  </si>
  <si>
    <t>ENSCAFT00845054094</t>
  </si>
  <si>
    <t>ENSCAFT00845054104</t>
  </si>
  <si>
    <t>ENSCAFT00845054114</t>
  </si>
  <si>
    <t>ENSCAFT00845054120</t>
  </si>
  <si>
    <t>GAPDH</t>
  </si>
  <si>
    <t>ENSCAFG00845028918</t>
  </si>
  <si>
    <t>ENSCAFT00845051100</t>
  </si>
  <si>
    <t>glyceraldehyde-3-phosphate dehydrogenase [Source:NCBI gene (formerly Entrezgene);Acc:403755]</t>
  </si>
  <si>
    <t>ENSCAFG00845030944</t>
  </si>
  <si>
    <t>ENSCAFT00845055004</t>
  </si>
  <si>
    <t>transgelin 2 [Source:HGNC Symbol;Acc:HGNC:11554]</t>
  </si>
  <si>
    <t>ENSCAFT00845055007</t>
  </si>
  <si>
    <t>ENSCAFG00845030772</t>
  </si>
  <si>
    <t>ENSCAFT00845054675</t>
  </si>
  <si>
    <t>glutamic-oxaloacetic transaminase 1 [Source:NCBI gene (formerly Entrezgene);Acc:486834]</t>
  </si>
  <si>
    <t>ENSCAFT00845054700</t>
  </si>
  <si>
    <t>ENSCAFG00845000560</t>
  </si>
  <si>
    <t>ENSCAFT00845000899</t>
  </si>
  <si>
    <t>nucleobindin 1 [Source:HGNC Symbol;Acc:HGNC:8043]</t>
  </si>
  <si>
    <t>ENSCAFG00845001060</t>
  </si>
  <si>
    <t>ENSCAFT00845001823</t>
  </si>
  <si>
    <t>angiotensinogen [Source:HGNC Symbol;Acc:HGNC:333]</t>
  </si>
  <si>
    <t>ENSCAFG00845007672</t>
  </si>
  <si>
    <t>ENSCAFT00845013652</t>
  </si>
  <si>
    <t>amyloid beta precursor protein binding family B member 1 [Source:HGNC Symbol;Acc:HGNC:581]</t>
  </si>
  <si>
    <t>ENSCAFT00845013770</t>
  </si>
  <si>
    <t>ENSCAFT00845013824</t>
  </si>
  <si>
    <t>ENSCAFT00845013897</t>
  </si>
  <si>
    <t>ENSCAFT00845013985</t>
  </si>
  <si>
    <t>ENSCAFT00845014239</t>
  </si>
  <si>
    <t>ENSCAFT00845014283</t>
  </si>
  <si>
    <t>ENSCAFG00845012504</t>
  </si>
  <si>
    <t>ENSCAFT00845022288</t>
  </si>
  <si>
    <t>collagen type I alpha 1 chain [Source:VGNC Symbol;Acc:VGNC:39464]</t>
  </si>
  <si>
    <t>ENSCAFG00845014069</t>
  </si>
  <si>
    <t>ENSCAFT00845025153</t>
  </si>
  <si>
    <t>proteasome 20S subunit beta 3 [Source:VGNC Symbol;Acc:VGNC:111669]</t>
  </si>
  <si>
    <t>ENSCAFG00845013473</t>
  </si>
  <si>
    <t>ENSCAFT00845024003</t>
  </si>
  <si>
    <t>actin beta [Source:VGNC Symbol;Acc:VGNC:111328]</t>
  </si>
  <si>
    <t>ENSCAFT00845024035</t>
  </si>
  <si>
    <t>ENSCAFG00845013723</t>
  </si>
  <si>
    <t>ENSCAFT00845024478</t>
  </si>
  <si>
    <t>serpin family F member 1 [Source:NCBI gene (formerly Entrezgene);Acc:611276]</t>
  </si>
  <si>
    <t>ENSCAFG00845019335</t>
  </si>
  <si>
    <t>ENSCAFT00845034104</t>
  </si>
  <si>
    <t>proline and arginine rich end leucine rich repeat protein [Source:HGNC Symbol;Acc:HGNC:9357]</t>
  </si>
  <si>
    <t>ENSCAFG00845022725</t>
  </si>
  <si>
    <t>ENSCAFT00845040105</t>
  </si>
  <si>
    <t>superoxide dismutase 1 [Source:NCBI gene (formerly Entrezgene);Acc:403559]</t>
  </si>
  <si>
    <t>ENSCAFT00845040157</t>
  </si>
  <si>
    <t>ENSCAFG00845024031</t>
  </si>
  <si>
    <t>ENSCAFT00845042470</t>
  </si>
  <si>
    <t>collagen type VI alpha 1 chain [Source:HGNC Symbol;Acc:HGNC:2211]</t>
  </si>
  <si>
    <t>ENSCAFG00845029088</t>
  </si>
  <si>
    <t>ENSCAFT00845051460</t>
  </si>
  <si>
    <t>phosphoglycerate mutase 1 [Source:HGNC Symbol;Acc:HGNC:8888]</t>
  </si>
  <si>
    <t>SERPINA1</t>
  </si>
  <si>
    <t>ENSCAFG00845002999</t>
  </si>
  <si>
    <t>ENSCAFT00845005313</t>
  </si>
  <si>
    <t>serpin family A member 1 [Source:NCBI gene (formerly Entrezgene);Acc:480422]</t>
  </si>
  <si>
    <t>H3-3A</t>
  </si>
  <si>
    <t>ENSCAFG00845008917</t>
  </si>
  <si>
    <t>ENSCAFT00845015667</t>
  </si>
  <si>
    <t>ENSCAFG00845023788</t>
  </si>
  <si>
    <t>ENSCAFT00845041991</t>
  </si>
  <si>
    <t>galactokinase 1 [Source:NCBI gene (formerly Entrezgene);Acc:403694]</t>
  </si>
  <si>
    <t>ENSCAFT00845042041</t>
  </si>
  <si>
    <t>ENSCAFT00845042109</t>
  </si>
  <si>
    <t>ENSCAFG00845010713</t>
  </si>
  <si>
    <t>ENSCAFT00845018890</t>
  </si>
  <si>
    <t>cytochrome c, somatic [Source:NCBI gene (formerly Entrezgene);Acc:475258]</t>
  </si>
  <si>
    <t>ENSCAFG00845006705</t>
  </si>
  <si>
    <t>ENSCAFT00845011898</t>
  </si>
  <si>
    <t>apolipoprotein E [Source:HGNC Symbol;Acc:HGNC:613]</t>
  </si>
  <si>
    <t>ENSCAFG00845028150</t>
  </si>
  <si>
    <t>ENSCAFT00845049681</t>
  </si>
  <si>
    <t>apolipoprotein H [Source:NCBI gene (formerly Entrezgene);Acc:403945]</t>
  </si>
  <si>
    <t>ENSCAFG00845019761</t>
  </si>
  <si>
    <t>ENSCAFT00845034856</t>
  </si>
  <si>
    <t>decorin [Source:NCBI gene (formerly Entrezgene);Acc:403904]</t>
  </si>
  <si>
    <t>ENSCAFT00845034922</t>
  </si>
  <si>
    <t>ENSCAFT00845035000</t>
  </si>
  <si>
    <t>ENSCAFT00845035098</t>
  </si>
  <si>
    <t>ENSCAFT00845035158</t>
  </si>
  <si>
    <t>ENSCAFG00845015140</t>
  </si>
  <si>
    <t>ENSCAFT00845027047</t>
  </si>
  <si>
    <t>non-metastatic cells 1, protein (NM23A) expressed in [Source:NCBI gene (formerly Entrezgene);Acc:480558]</t>
  </si>
  <si>
    <t>ENSCAFT00845027056</t>
  </si>
  <si>
    <t>|+!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</si>
</sst>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31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7E350E"/>
          <bgColor rgb="FF000000"/>
        </patternFill>
      </fill>
    </dxf>
  </dxfs>
  <tableStyles count="0" defaultTableStyle="TableStyleMedium2" defaultPivotStyle="PivotStyleLight16"/>
  <colors>
    <mruColors>
      <color rgb="FFFF83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A307-F2B1-4F2E-9A88-D2AFABA52A7F}">
  <dimension ref="A1:I140"/>
  <sheetViews>
    <sheetView topLeftCell="A114" workbookViewId="0">
      <selection sqref="A1:A140"/>
    </sheetView>
  </sheetViews>
  <sheetFormatPr baseColWidth="10" defaultColWidth="11.44140625" defaultRowHeight="14.4" x14ac:dyDescent="0.3"/>
  <cols>
    <col min="2" max="5" width="11.5546875" style="2"/>
    <col min="6" max="9" width="11.5546875" style="1"/>
  </cols>
  <sheetData>
    <row r="1" spans="1:9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27.08</v>
      </c>
      <c r="C2" s="2">
        <v>7.35</v>
      </c>
      <c r="D2" s="2">
        <v>8.43</v>
      </c>
      <c r="E2" s="2">
        <v>8.43</v>
      </c>
      <c r="F2" s="1">
        <v>12.56</v>
      </c>
      <c r="G2" s="1">
        <v>14.31</v>
      </c>
      <c r="H2" s="1">
        <v>11.02</v>
      </c>
      <c r="I2" s="1">
        <v>6.4</v>
      </c>
    </row>
    <row r="3" spans="1:9" x14ac:dyDescent="0.3">
      <c r="A3" t="s">
        <v>10</v>
      </c>
      <c r="B3" s="2">
        <v>0.53</v>
      </c>
      <c r="C3" s="2">
        <v>7.0000000000000007E-2</v>
      </c>
      <c r="D3" s="2">
        <v>0.03</v>
      </c>
      <c r="E3" s="2">
        <v>0.03</v>
      </c>
      <c r="F3" s="1">
        <v>0.15</v>
      </c>
      <c r="G3" s="1">
        <v>0.1</v>
      </c>
      <c r="H3" s="1">
        <v>0.1</v>
      </c>
      <c r="I3" s="1">
        <v>0.28999999999999998</v>
      </c>
    </row>
    <row r="4" spans="1:9" x14ac:dyDescent="0.3">
      <c r="A4" t="s">
        <v>11</v>
      </c>
      <c r="B4" s="2">
        <v>8.48</v>
      </c>
      <c r="C4" s="2">
        <v>5.22</v>
      </c>
      <c r="D4" s="2">
        <v>2.08</v>
      </c>
      <c r="E4" s="2">
        <v>5.22</v>
      </c>
      <c r="F4" s="1">
        <v>4.4000000000000004</v>
      </c>
      <c r="G4" s="1">
        <v>4.4000000000000004</v>
      </c>
      <c r="H4" s="1">
        <v>3.69</v>
      </c>
      <c r="I4" s="1">
        <v>3.69</v>
      </c>
    </row>
    <row r="5" spans="1:9" x14ac:dyDescent="0.3">
      <c r="A5" t="s">
        <v>12</v>
      </c>
      <c r="B5" s="2">
        <v>1.58</v>
      </c>
      <c r="C5" s="2">
        <v>0.69</v>
      </c>
      <c r="D5" s="2">
        <v>0.79</v>
      </c>
      <c r="E5" s="2">
        <v>0.3</v>
      </c>
      <c r="F5" s="1">
        <v>1.0350000000000001</v>
      </c>
      <c r="G5" s="1">
        <v>1.0900000000000001</v>
      </c>
      <c r="H5" s="1">
        <v>0.98</v>
      </c>
      <c r="I5" s="1">
        <v>1.0349999999999999</v>
      </c>
    </row>
    <row r="6" spans="1:9" x14ac:dyDescent="0.3">
      <c r="A6" t="s">
        <v>13</v>
      </c>
      <c r="B6" s="2">
        <v>1.53</v>
      </c>
      <c r="C6" s="2">
        <v>0.7</v>
      </c>
      <c r="D6" s="2">
        <v>1.21</v>
      </c>
      <c r="E6" s="2">
        <v>0.7</v>
      </c>
      <c r="F6" s="1">
        <v>0.94</v>
      </c>
      <c r="G6" s="1">
        <v>0.7</v>
      </c>
      <c r="H6" s="1">
        <v>1.21</v>
      </c>
      <c r="I6" s="1">
        <v>0.7</v>
      </c>
    </row>
    <row r="7" spans="1:9" x14ac:dyDescent="0.3">
      <c r="A7" t="s">
        <v>14</v>
      </c>
      <c r="B7" s="2">
        <v>2.75</v>
      </c>
      <c r="C7" s="2">
        <v>0.25</v>
      </c>
      <c r="D7" s="2">
        <v>0.74</v>
      </c>
      <c r="E7" s="2">
        <v>0.74</v>
      </c>
      <c r="F7" s="1">
        <v>0.74</v>
      </c>
      <c r="G7" s="1">
        <v>0.74</v>
      </c>
      <c r="H7" s="1">
        <v>0.25</v>
      </c>
      <c r="I7" s="1">
        <v>0.74</v>
      </c>
    </row>
    <row r="8" spans="1:9" x14ac:dyDescent="0.3">
      <c r="A8" t="s">
        <v>15</v>
      </c>
      <c r="B8" s="2">
        <v>1.59</v>
      </c>
      <c r="C8" s="2">
        <v>2.87</v>
      </c>
      <c r="D8" s="2">
        <v>0.92</v>
      </c>
      <c r="E8" s="2">
        <v>0.83</v>
      </c>
      <c r="F8" s="1">
        <v>0.74</v>
      </c>
      <c r="G8" s="1">
        <v>1.47</v>
      </c>
      <c r="H8" s="1">
        <v>1.35</v>
      </c>
      <c r="I8" s="1">
        <v>1.59</v>
      </c>
    </row>
    <row r="9" spans="1:9" x14ac:dyDescent="0.3">
      <c r="A9" t="s">
        <v>16</v>
      </c>
      <c r="B9" s="2">
        <v>27.82</v>
      </c>
      <c r="C9" s="2">
        <v>9.25</v>
      </c>
      <c r="D9" s="2">
        <v>9.25</v>
      </c>
      <c r="E9" s="2">
        <v>134.97</v>
      </c>
      <c r="F9" s="1">
        <v>1.81</v>
      </c>
      <c r="G9" s="1">
        <v>12.27</v>
      </c>
      <c r="H9" s="1">
        <v>27.82</v>
      </c>
      <c r="I9" s="1">
        <v>12.27</v>
      </c>
    </row>
    <row r="10" spans="1:9" x14ac:dyDescent="0.3">
      <c r="A10" t="s">
        <v>17</v>
      </c>
      <c r="B10" s="2">
        <v>1.4</v>
      </c>
      <c r="C10" s="2">
        <v>0.89</v>
      </c>
      <c r="D10" s="2">
        <v>0.75</v>
      </c>
      <c r="E10" s="2">
        <v>0.89</v>
      </c>
      <c r="F10" s="1">
        <v>0.89</v>
      </c>
      <c r="G10" s="1">
        <v>1.05</v>
      </c>
      <c r="H10" s="1">
        <v>0.75</v>
      </c>
      <c r="I10" s="1">
        <v>0.61</v>
      </c>
    </row>
    <row r="11" spans="1:9" x14ac:dyDescent="0.3">
      <c r="A11" t="s">
        <v>18</v>
      </c>
      <c r="B11" s="2">
        <v>0.96</v>
      </c>
      <c r="C11" s="2">
        <v>0.35</v>
      </c>
      <c r="D11" s="2">
        <v>0.69</v>
      </c>
      <c r="E11" s="2">
        <v>0.45</v>
      </c>
      <c r="F11" s="1">
        <v>0.82</v>
      </c>
      <c r="G11" s="1">
        <v>0.25</v>
      </c>
      <c r="H11" s="1">
        <v>0.35</v>
      </c>
      <c r="I11" s="1">
        <v>0.82</v>
      </c>
    </row>
    <row r="12" spans="1:9" x14ac:dyDescent="0.3">
      <c r="A12" t="s">
        <v>19</v>
      </c>
      <c r="B12" s="2">
        <v>0.27</v>
      </c>
      <c r="C12" s="2">
        <v>0.17</v>
      </c>
      <c r="D12" s="2">
        <v>0.05</v>
      </c>
      <c r="E12" s="2">
        <v>0.08</v>
      </c>
      <c r="F12" s="1">
        <v>0.155</v>
      </c>
      <c r="G12" s="1">
        <v>0.11</v>
      </c>
      <c r="H12" s="1">
        <v>0.155</v>
      </c>
      <c r="I12" s="1">
        <v>0.2</v>
      </c>
    </row>
    <row r="13" spans="1:9" x14ac:dyDescent="0.3">
      <c r="A13" t="s">
        <v>20</v>
      </c>
      <c r="B13" s="2">
        <v>3.32</v>
      </c>
      <c r="C13" s="2">
        <v>7.97</v>
      </c>
      <c r="D13" s="2">
        <v>5.23</v>
      </c>
      <c r="E13" s="2">
        <v>5.23</v>
      </c>
      <c r="F13" s="1">
        <v>7.97</v>
      </c>
      <c r="G13" s="1">
        <v>7.97</v>
      </c>
      <c r="H13" s="1">
        <v>7.97</v>
      </c>
      <c r="I13" s="1">
        <v>11.94</v>
      </c>
    </row>
    <row r="14" spans="1:9" x14ac:dyDescent="0.3">
      <c r="A14" t="s">
        <v>21</v>
      </c>
      <c r="B14" s="2">
        <v>0.12</v>
      </c>
      <c r="C14" s="2">
        <v>0.16</v>
      </c>
      <c r="D14" s="2">
        <v>0.06</v>
      </c>
      <c r="E14" s="2">
        <v>0.25</v>
      </c>
      <c r="F14" s="1">
        <v>0.12</v>
      </c>
      <c r="G14" s="1">
        <v>0.25</v>
      </c>
      <c r="H14" s="1">
        <v>0.35</v>
      </c>
      <c r="I14" s="1">
        <v>0.3</v>
      </c>
    </row>
    <row r="15" spans="1:9" x14ac:dyDescent="0.3">
      <c r="A15" t="s">
        <v>22</v>
      </c>
      <c r="B15" s="2">
        <v>1.1399999999999999</v>
      </c>
      <c r="C15" s="2">
        <v>0.73499999999999988</v>
      </c>
      <c r="D15" s="2">
        <v>0.33</v>
      </c>
      <c r="E15" s="2">
        <v>0.73499999999999988</v>
      </c>
      <c r="F15" s="1">
        <v>0.61</v>
      </c>
      <c r="G15" s="1">
        <v>1.1399999999999999</v>
      </c>
      <c r="H15" s="1">
        <v>0.875</v>
      </c>
      <c r="I15" s="1">
        <v>0.875</v>
      </c>
    </row>
    <row r="16" spans="1:9" x14ac:dyDescent="0.3">
      <c r="A16" t="s">
        <v>23</v>
      </c>
      <c r="B16" s="2">
        <v>0.87</v>
      </c>
      <c r="C16" s="2">
        <v>0.87</v>
      </c>
      <c r="D16" s="2">
        <v>1.1499999999999999</v>
      </c>
      <c r="E16" s="2">
        <v>0.41</v>
      </c>
      <c r="F16" s="1">
        <v>1.1499999999999999</v>
      </c>
      <c r="G16" s="1">
        <v>0.87</v>
      </c>
      <c r="H16" s="1">
        <v>0.74</v>
      </c>
      <c r="I16" s="1">
        <v>1</v>
      </c>
    </row>
    <row r="17" spans="1:9" x14ac:dyDescent="0.3">
      <c r="A17" t="s">
        <v>27</v>
      </c>
      <c r="B17" s="2">
        <v>0.44</v>
      </c>
      <c r="C17" s="2">
        <v>0.57999999999999996</v>
      </c>
      <c r="D17" s="2">
        <v>0.73</v>
      </c>
      <c r="E17" s="2">
        <v>0.44</v>
      </c>
      <c r="F17" s="1">
        <v>0.9</v>
      </c>
      <c r="G17" s="1">
        <v>0.9</v>
      </c>
      <c r="H17" s="1">
        <v>0.73</v>
      </c>
      <c r="I17" s="1">
        <v>0.57999999999999996</v>
      </c>
    </row>
    <row r="18" spans="1:9" x14ac:dyDescent="0.3">
      <c r="A18" t="s">
        <v>28</v>
      </c>
      <c r="B18" s="2">
        <v>0.14000000000000001</v>
      </c>
      <c r="C18" s="2">
        <v>0.3</v>
      </c>
      <c r="D18" s="2">
        <v>0.22</v>
      </c>
      <c r="E18" s="2">
        <v>0.22</v>
      </c>
      <c r="F18" s="1">
        <v>0.3</v>
      </c>
      <c r="G18" s="1">
        <v>0.14000000000000001</v>
      </c>
      <c r="H18" s="1">
        <v>0.14000000000000001</v>
      </c>
      <c r="I18" s="1">
        <v>0.39</v>
      </c>
    </row>
    <row r="19" spans="1:9" x14ac:dyDescent="0.3">
      <c r="A19" t="s">
        <v>30</v>
      </c>
      <c r="B19" s="2">
        <v>0.56000000000000005</v>
      </c>
      <c r="C19" s="2">
        <v>0.45</v>
      </c>
      <c r="D19" s="2">
        <v>0.56000000000000005</v>
      </c>
      <c r="E19" s="2">
        <v>0.56000000000000005</v>
      </c>
      <c r="F19" s="1">
        <v>0.81</v>
      </c>
      <c r="G19" s="1">
        <v>0.16</v>
      </c>
      <c r="H19" s="1">
        <v>0.16</v>
      </c>
      <c r="I19" s="1">
        <v>0.56000000000000005</v>
      </c>
    </row>
    <row r="20" spans="1:9" x14ac:dyDescent="0.3">
      <c r="A20" t="s">
        <v>31</v>
      </c>
      <c r="B20" s="2">
        <v>0.53</v>
      </c>
      <c r="C20" s="2">
        <v>0.38</v>
      </c>
      <c r="D20" s="2">
        <v>0.38</v>
      </c>
      <c r="E20" s="2">
        <v>0.38</v>
      </c>
      <c r="F20" s="1">
        <v>0.38</v>
      </c>
      <c r="G20" s="1">
        <v>0.53</v>
      </c>
      <c r="H20" s="1">
        <v>0.38</v>
      </c>
      <c r="I20" s="1">
        <v>0.38</v>
      </c>
    </row>
    <row r="21" spans="1:9" x14ac:dyDescent="0.3">
      <c r="A21" t="s">
        <v>33</v>
      </c>
      <c r="B21" s="2">
        <v>2.72</v>
      </c>
      <c r="C21" s="2">
        <v>2.72</v>
      </c>
      <c r="D21" s="2">
        <v>8.98</v>
      </c>
      <c r="E21" s="2">
        <v>2.72</v>
      </c>
      <c r="F21" s="1">
        <v>2.72</v>
      </c>
      <c r="G21" s="1">
        <v>2.72</v>
      </c>
      <c r="H21" s="1">
        <v>2.72</v>
      </c>
      <c r="I21" s="1">
        <v>2.72</v>
      </c>
    </row>
    <row r="22" spans="1:9" x14ac:dyDescent="0.3">
      <c r="A22" t="s">
        <v>34</v>
      </c>
      <c r="B22" s="2">
        <v>0.54</v>
      </c>
      <c r="C22" s="2">
        <v>0.68</v>
      </c>
      <c r="D22" s="2">
        <v>0.68</v>
      </c>
      <c r="E22" s="2">
        <v>0.54</v>
      </c>
      <c r="F22" s="1">
        <v>0.41</v>
      </c>
      <c r="G22" s="1">
        <v>0.83</v>
      </c>
      <c r="H22" s="1">
        <v>0.41</v>
      </c>
      <c r="I22" s="1">
        <v>0.54</v>
      </c>
    </row>
    <row r="23" spans="1:9" x14ac:dyDescent="0.3">
      <c r="A23" t="s">
        <v>35</v>
      </c>
      <c r="B23" s="2">
        <v>0.32</v>
      </c>
      <c r="C23" s="2">
        <v>0.52</v>
      </c>
      <c r="D23" s="2">
        <v>0.32</v>
      </c>
      <c r="E23" s="2">
        <v>0.32</v>
      </c>
      <c r="F23" s="1">
        <v>0.32</v>
      </c>
      <c r="G23" s="1">
        <v>0.32</v>
      </c>
      <c r="H23" s="1">
        <v>0.32</v>
      </c>
      <c r="I23" s="1">
        <v>0.32</v>
      </c>
    </row>
    <row r="24" spans="1:9" x14ac:dyDescent="0.3">
      <c r="A24" t="s">
        <v>36</v>
      </c>
      <c r="B24" s="2">
        <v>0.12</v>
      </c>
      <c r="C24" s="2">
        <v>0.12</v>
      </c>
      <c r="D24" s="2">
        <v>0.19</v>
      </c>
      <c r="E24" s="2">
        <v>0.06</v>
      </c>
      <c r="F24" s="1">
        <v>0.26</v>
      </c>
      <c r="G24" s="1">
        <v>0.22</v>
      </c>
      <c r="H24" s="1">
        <v>0.09</v>
      </c>
      <c r="I24" s="1">
        <v>0.22</v>
      </c>
    </row>
    <row r="25" spans="1:9" x14ac:dyDescent="0.3">
      <c r="A25" t="s">
        <v>38</v>
      </c>
      <c r="B25" s="2">
        <v>0.47</v>
      </c>
      <c r="C25" s="2">
        <v>0.80999999999999994</v>
      </c>
      <c r="D25" s="2">
        <v>0.80999999999999994</v>
      </c>
      <c r="E25" s="2">
        <v>1.1499999999999999</v>
      </c>
      <c r="F25" s="1">
        <v>1.6</v>
      </c>
      <c r="G25" s="1">
        <v>1.6</v>
      </c>
      <c r="H25" s="1">
        <v>2.81</v>
      </c>
      <c r="I25" s="1">
        <v>0.77</v>
      </c>
    </row>
    <row r="26" spans="1:9" x14ac:dyDescent="0.3">
      <c r="A26" t="s">
        <v>39</v>
      </c>
      <c r="B26" s="2">
        <v>0.13</v>
      </c>
      <c r="C26" s="2">
        <v>0.19</v>
      </c>
      <c r="D26" s="2">
        <v>0.13</v>
      </c>
      <c r="E26" s="2">
        <v>0.13</v>
      </c>
      <c r="F26" s="1">
        <v>0.13</v>
      </c>
      <c r="G26" s="1">
        <v>0.34</v>
      </c>
      <c r="H26" s="1">
        <v>0.27</v>
      </c>
      <c r="I26" s="1">
        <v>0.61</v>
      </c>
    </row>
    <row r="27" spans="1:9" x14ac:dyDescent="0.3">
      <c r="A27" t="s">
        <v>40</v>
      </c>
      <c r="B27" s="2">
        <v>0.46</v>
      </c>
      <c r="C27" s="2">
        <v>0.16</v>
      </c>
      <c r="D27" s="2">
        <v>0.31000000000000005</v>
      </c>
      <c r="E27" s="2">
        <v>0.31000000000000005</v>
      </c>
      <c r="F27" s="1">
        <v>0.16</v>
      </c>
      <c r="G27" s="1">
        <v>0.25</v>
      </c>
      <c r="H27" s="1">
        <v>0.16</v>
      </c>
      <c r="I27" s="1">
        <v>0.16</v>
      </c>
    </row>
    <row r="28" spans="1:9" x14ac:dyDescent="0.3">
      <c r="A28" t="s">
        <v>43</v>
      </c>
      <c r="B28" s="2">
        <v>0.36</v>
      </c>
      <c r="C28" s="2">
        <v>0.36</v>
      </c>
      <c r="D28" s="2">
        <v>0.17</v>
      </c>
      <c r="E28" s="2">
        <v>0.36</v>
      </c>
      <c r="F28" s="1">
        <v>0.36</v>
      </c>
      <c r="G28" s="1">
        <v>0.36</v>
      </c>
      <c r="H28" s="1">
        <v>0.17</v>
      </c>
      <c r="I28" s="1">
        <v>0.47</v>
      </c>
    </row>
    <row r="29" spans="1:9" x14ac:dyDescent="0.3">
      <c r="A29" t="s">
        <v>44</v>
      </c>
      <c r="B29" s="2">
        <v>0.03</v>
      </c>
      <c r="C29" s="2">
        <v>0.05</v>
      </c>
      <c r="D29" s="2">
        <v>0.04</v>
      </c>
      <c r="E29" s="2">
        <v>0.04</v>
      </c>
      <c r="F29" s="1">
        <v>0.03</v>
      </c>
      <c r="G29" s="1">
        <v>0.04</v>
      </c>
      <c r="H29" s="1">
        <v>0.03</v>
      </c>
      <c r="I29" s="1">
        <v>0.03</v>
      </c>
    </row>
    <row r="30" spans="1:9" x14ac:dyDescent="0.3">
      <c r="A30" t="s">
        <v>45</v>
      </c>
      <c r="B30" s="2">
        <v>0.66</v>
      </c>
      <c r="C30" s="2">
        <v>1.49</v>
      </c>
      <c r="D30" s="2">
        <v>1.075</v>
      </c>
      <c r="E30" s="2">
        <v>1.075</v>
      </c>
      <c r="F30" s="1">
        <v>0.84</v>
      </c>
      <c r="G30" s="1">
        <v>1.25</v>
      </c>
      <c r="H30" s="1">
        <v>1.0449999999999999</v>
      </c>
      <c r="I30" s="1">
        <v>1.0449999999999999</v>
      </c>
    </row>
    <row r="31" spans="1:9" x14ac:dyDescent="0.3">
      <c r="A31" t="s">
        <v>46</v>
      </c>
      <c r="B31" s="2">
        <v>0.27</v>
      </c>
      <c r="C31" s="2">
        <v>0.35</v>
      </c>
      <c r="D31" s="2">
        <v>0.2</v>
      </c>
      <c r="E31" s="2">
        <v>0.13</v>
      </c>
      <c r="F31" s="1">
        <v>0.13</v>
      </c>
      <c r="G31" s="1">
        <v>0.44</v>
      </c>
      <c r="H31" s="1">
        <v>0.2</v>
      </c>
      <c r="I31" s="1">
        <v>0.27</v>
      </c>
    </row>
    <row r="32" spans="1:9" x14ac:dyDescent="0.3">
      <c r="A32" t="s">
        <v>47</v>
      </c>
      <c r="B32" s="2">
        <v>0.41</v>
      </c>
      <c r="C32" s="2">
        <v>0.41</v>
      </c>
      <c r="D32" s="2">
        <v>0.41</v>
      </c>
      <c r="E32" s="2">
        <v>0.41</v>
      </c>
      <c r="F32" s="1">
        <v>0.26</v>
      </c>
      <c r="G32" s="1">
        <v>0.33499999999999996</v>
      </c>
      <c r="H32" s="1">
        <v>0.33500000000000002</v>
      </c>
      <c r="I32" s="1">
        <v>0.41</v>
      </c>
    </row>
    <row r="33" spans="1:9" x14ac:dyDescent="0.3">
      <c r="A33" t="s">
        <v>50</v>
      </c>
      <c r="B33" s="2">
        <v>0.39</v>
      </c>
      <c r="C33" s="2">
        <v>0.22</v>
      </c>
      <c r="D33" s="2">
        <v>0.22</v>
      </c>
      <c r="E33" s="2">
        <v>0.3</v>
      </c>
      <c r="F33" s="1">
        <v>0.14000000000000001</v>
      </c>
      <c r="G33" s="1">
        <v>0.3</v>
      </c>
      <c r="H33" s="1">
        <v>0.69</v>
      </c>
      <c r="I33" s="1">
        <v>0.39</v>
      </c>
    </row>
    <row r="34" spans="1:9" x14ac:dyDescent="0.3">
      <c r="A34" t="s">
        <v>52</v>
      </c>
      <c r="B34" s="2">
        <v>0.06</v>
      </c>
      <c r="C34" s="2">
        <v>0.06</v>
      </c>
      <c r="D34" s="2">
        <v>0.03</v>
      </c>
      <c r="E34" s="2">
        <v>0.06</v>
      </c>
      <c r="F34" s="1">
        <v>0.06</v>
      </c>
      <c r="G34" s="1">
        <v>0.03</v>
      </c>
      <c r="H34" s="1">
        <v>0.03</v>
      </c>
      <c r="I34" s="1">
        <v>0.03</v>
      </c>
    </row>
    <row r="35" spans="1:9" x14ac:dyDescent="0.3">
      <c r="A35" t="s">
        <v>53</v>
      </c>
      <c r="B35" s="2">
        <v>0.19</v>
      </c>
      <c r="C35" s="2">
        <v>0.19</v>
      </c>
      <c r="D35" s="2">
        <v>0.19</v>
      </c>
      <c r="E35" s="2">
        <v>0.19</v>
      </c>
      <c r="F35" s="1">
        <v>0.09</v>
      </c>
      <c r="G35" s="1">
        <v>0.19</v>
      </c>
      <c r="H35" s="1">
        <v>0.19</v>
      </c>
      <c r="I35" s="1">
        <v>0.19</v>
      </c>
    </row>
    <row r="36" spans="1:9" x14ac:dyDescent="0.3">
      <c r="A36" t="s">
        <v>55</v>
      </c>
      <c r="B36" s="2">
        <v>0.19</v>
      </c>
      <c r="C36" s="2">
        <v>0.245</v>
      </c>
      <c r="D36" s="2">
        <v>0.3</v>
      </c>
      <c r="E36" s="2">
        <v>0.245</v>
      </c>
      <c r="F36" s="1">
        <v>0.3</v>
      </c>
      <c r="G36" s="1">
        <v>0.19</v>
      </c>
      <c r="H36" s="1">
        <v>0.3</v>
      </c>
      <c r="I36" s="1">
        <v>0.69</v>
      </c>
    </row>
    <row r="37" spans="1:9" x14ac:dyDescent="0.3">
      <c r="A37" t="s">
        <v>57</v>
      </c>
      <c r="B37" s="2">
        <v>0.03</v>
      </c>
      <c r="C37" s="2">
        <v>7.0000000000000007E-2</v>
      </c>
      <c r="D37" s="2">
        <v>0.05</v>
      </c>
      <c r="E37" s="2">
        <v>0.05</v>
      </c>
      <c r="F37" s="1">
        <v>8.4999999999999992E-2</v>
      </c>
      <c r="G37" s="1">
        <v>0.05</v>
      </c>
      <c r="H37" s="1">
        <v>0.12</v>
      </c>
      <c r="I37" s="1">
        <v>8.5000000000000006E-2</v>
      </c>
    </row>
    <row r="38" spans="1:9" x14ac:dyDescent="0.3">
      <c r="A38" t="s">
        <v>59</v>
      </c>
      <c r="B38" s="2">
        <v>0.15</v>
      </c>
      <c r="C38" s="2">
        <v>0.15</v>
      </c>
      <c r="D38" s="2">
        <v>0.15</v>
      </c>
      <c r="E38" s="2">
        <v>0.15</v>
      </c>
      <c r="F38" s="1">
        <v>0.26</v>
      </c>
      <c r="G38" s="1">
        <v>0.1</v>
      </c>
      <c r="H38" s="1">
        <v>0.2</v>
      </c>
      <c r="I38" s="1">
        <v>0.2</v>
      </c>
    </row>
    <row r="39" spans="1:9" x14ac:dyDescent="0.3">
      <c r="A39" t="s">
        <v>60</v>
      </c>
      <c r="B39" s="2">
        <v>0.41</v>
      </c>
      <c r="C39" s="2">
        <v>0.62</v>
      </c>
      <c r="D39" s="2">
        <v>0.41</v>
      </c>
      <c r="E39" s="2">
        <v>0.23</v>
      </c>
      <c r="F39" s="1">
        <v>0.52</v>
      </c>
      <c r="G39" s="1">
        <v>0.62</v>
      </c>
      <c r="H39" s="1">
        <v>0.15</v>
      </c>
      <c r="I39" s="1">
        <v>0.41</v>
      </c>
    </row>
    <row r="40" spans="1:9" x14ac:dyDescent="0.3">
      <c r="A40" t="s">
        <v>61</v>
      </c>
      <c r="B40" s="2">
        <v>0.13</v>
      </c>
      <c r="C40" s="2">
        <v>0.32</v>
      </c>
      <c r="D40" s="2">
        <v>0.22500000000000001</v>
      </c>
      <c r="E40" s="2">
        <v>0.22500000000000001</v>
      </c>
      <c r="F40" s="1">
        <v>0.08</v>
      </c>
      <c r="G40" s="1">
        <v>0.08</v>
      </c>
      <c r="H40" s="1">
        <v>0.08</v>
      </c>
      <c r="I40" s="1">
        <v>0.08</v>
      </c>
    </row>
    <row r="41" spans="1:9" x14ac:dyDescent="0.3">
      <c r="A41" t="s">
        <v>63</v>
      </c>
      <c r="B41" s="2">
        <v>0.24</v>
      </c>
      <c r="C41" s="2">
        <v>0.34</v>
      </c>
      <c r="D41" s="2">
        <v>0.24</v>
      </c>
      <c r="E41" s="2">
        <v>0.24</v>
      </c>
      <c r="F41" s="1">
        <v>0.39</v>
      </c>
      <c r="G41" s="1">
        <v>0.44</v>
      </c>
      <c r="H41" s="1">
        <v>0.34</v>
      </c>
      <c r="I41" s="1">
        <v>0.39</v>
      </c>
    </row>
    <row r="42" spans="1:9" x14ac:dyDescent="0.3">
      <c r="A42" t="s">
        <v>64</v>
      </c>
      <c r="B42" s="2">
        <v>0.21</v>
      </c>
      <c r="C42" s="2">
        <v>0.42</v>
      </c>
      <c r="D42" s="2">
        <v>0.63</v>
      </c>
      <c r="E42" s="2">
        <v>0.42000000000000004</v>
      </c>
      <c r="F42" s="1">
        <v>0.34</v>
      </c>
      <c r="G42" s="1">
        <v>0.34</v>
      </c>
      <c r="H42" s="1">
        <v>0.34</v>
      </c>
      <c r="I42" s="1">
        <v>0.34</v>
      </c>
    </row>
    <row r="43" spans="1:9" x14ac:dyDescent="0.3">
      <c r="A43" t="s">
        <v>65</v>
      </c>
      <c r="B43" s="2">
        <v>0.08</v>
      </c>
      <c r="C43" s="2">
        <v>0.12</v>
      </c>
      <c r="D43" s="2">
        <v>0.1</v>
      </c>
      <c r="E43" s="2">
        <v>0.1</v>
      </c>
      <c r="F43" s="1">
        <v>0.14500000000000002</v>
      </c>
      <c r="G43" s="1">
        <v>0.08</v>
      </c>
      <c r="H43" s="1">
        <v>0.14499999999999999</v>
      </c>
      <c r="I43" s="1">
        <v>0.21</v>
      </c>
    </row>
    <row r="44" spans="1:9" x14ac:dyDescent="0.3">
      <c r="A44" t="s">
        <v>69</v>
      </c>
      <c r="B44" s="2">
        <v>0.09</v>
      </c>
      <c r="C44" s="2">
        <v>0.17</v>
      </c>
      <c r="D44" s="2">
        <v>0.13</v>
      </c>
      <c r="E44" s="2">
        <v>0.13</v>
      </c>
      <c r="F44" s="1">
        <v>7.0000000000000007E-2</v>
      </c>
      <c r="G44" s="1">
        <v>0.19</v>
      </c>
      <c r="H44" s="1">
        <v>0.14000000000000001</v>
      </c>
      <c r="I44" s="1">
        <v>0.04</v>
      </c>
    </row>
    <row r="45" spans="1:9" x14ac:dyDescent="0.3">
      <c r="A45" t="s">
        <v>70</v>
      </c>
      <c r="B45" s="2">
        <v>0.11</v>
      </c>
      <c r="C45" s="2">
        <v>0.23</v>
      </c>
      <c r="D45" s="2">
        <v>0.11</v>
      </c>
      <c r="E45" s="2">
        <v>0.11</v>
      </c>
      <c r="F45" s="1">
        <v>0.16499999999999998</v>
      </c>
      <c r="G45" s="1">
        <v>0.15</v>
      </c>
      <c r="H45" s="1">
        <v>0.16500000000000001</v>
      </c>
      <c r="I45" s="1">
        <v>0.18</v>
      </c>
    </row>
    <row r="46" spans="1:9" x14ac:dyDescent="0.3">
      <c r="A46" t="s">
        <v>73</v>
      </c>
      <c r="B46" s="2">
        <v>0.71</v>
      </c>
      <c r="C46" s="2">
        <v>2.52</v>
      </c>
      <c r="D46" s="2">
        <v>1.615</v>
      </c>
      <c r="E46" s="2">
        <v>1.615</v>
      </c>
      <c r="F46" s="1">
        <v>1.94</v>
      </c>
      <c r="G46" s="1">
        <v>1.05</v>
      </c>
      <c r="H46" s="1">
        <v>1.05</v>
      </c>
      <c r="I46" s="1">
        <v>1.94</v>
      </c>
    </row>
    <row r="47" spans="1:9" x14ac:dyDescent="0.3">
      <c r="A47" t="s">
        <v>74</v>
      </c>
      <c r="B47" s="2">
        <v>0.11</v>
      </c>
      <c r="C47" s="2">
        <v>0.11</v>
      </c>
      <c r="D47" s="2">
        <v>0.11</v>
      </c>
      <c r="E47" s="2">
        <v>0.11</v>
      </c>
      <c r="F47" s="1">
        <v>0.11</v>
      </c>
      <c r="G47" s="1">
        <v>0.16</v>
      </c>
      <c r="H47" s="1">
        <v>0.16</v>
      </c>
      <c r="I47" s="1">
        <v>0.16</v>
      </c>
    </row>
    <row r="48" spans="1:9" x14ac:dyDescent="0.3">
      <c r="A48" t="s">
        <v>76</v>
      </c>
      <c r="B48" s="2">
        <v>5.47</v>
      </c>
      <c r="C48" s="2">
        <v>3.06</v>
      </c>
      <c r="D48" s="2">
        <v>1.54</v>
      </c>
      <c r="E48" s="2">
        <v>1.54</v>
      </c>
      <c r="F48" s="1">
        <v>2.2999999999999998</v>
      </c>
      <c r="G48" s="1">
        <v>3.06</v>
      </c>
      <c r="H48" s="1">
        <v>2.2999999999999998</v>
      </c>
      <c r="I48" s="1">
        <v>1.54</v>
      </c>
    </row>
    <row r="49" spans="1:9" x14ac:dyDescent="0.3">
      <c r="A49" t="s">
        <v>78</v>
      </c>
      <c r="B49" s="2">
        <v>1.06</v>
      </c>
      <c r="C49" s="2">
        <v>1.97</v>
      </c>
      <c r="D49" s="2">
        <v>1.06</v>
      </c>
      <c r="E49" s="2">
        <v>1.06</v>
      </c>
      <c r="F49" s="1">
        <v>1.5150000000000001</v>
      </c>
      <c r="G49" s="1">
        <v>1.97</v>
      </c>
      <c r="H49" s="1">
        <v>1.06</v>
      </c>
      <c r="I49" s="1">
        <v>1.5149999999999999</v>
      </c>
    </row>
    <row r="50" spans="1:9" x14ac:dyDescent="0.3">
      <c r="A50" t="s">
        <v>84</v>
      </c>
      <c r="B50" s="2">
        <v>0.25</v>
      </c>
      <c r="C50" s="2">
        <v>0.25</v>
      </c>
      <c r="D50" s="2">
        <v>0.25</v>
      </c>
      <c r="E50" s="2">
        <v>0.25</v>
      </c>
      <c r="F50" s="1">
        <v>0.59000000000000008</v>
      </c>
      <c r="G50" s="1">
        <v>0.59</v>
      </c>
      <c r="H50" s="1">
        <v>0.93</v>
      </c>
      <c r="I50" s="1">
        <v>0.25</v>
      </c>
    </row>
    <row r="51" spans="1:9" x14ac:dyDescent="0.3">
      <c r="A51" t="s">
        <v>85</v>
      </c>
      <c r="B51" s="2">
        <v>0.24</v>
      </c>
      <c r="C51" s="2">
        <v>0.24</v>
      </c>
      <c r="D51" s="2">
        <v>0.24</v>
      </c>
      <c r="E51" s="2">
        <v>0.24</v>
      </c>
      <c r="F51" s="1">
        <v>0.24</v>
      </c>
      <c r="G51" s="1">
        <v>0.24</v>
      </c>
      <c r="H51" s="1">
        <v>0.24</v>
      </c>
      <c r="I51" s="1">
        <v>0.24</v>
      </c>
    </row>
    <row r="52" spans="1:9" x14ac:dyDescent="0.3">
      <c r="A52" t="s">
        <v>86</v>
      </c>
      <c r="B52" s="2">
        <v>0.08</v>
      </c>
      <c r="C52" s="2">
        <v>0.48</v>
      </c>
      <c r="D52" s="2">
        <v>0.28000000000000003</v>
      </c>
      <c r="E52" s="2">
        <v>0.28000000000000003</v>
      </c>
      <c r="F52" s="1">
        <v>0.17</v>
      </c>
      <c r="G52" s="1">
        <v>0.14500000000000002</v>
      </c>
      <c r="H52" s="1">
        <v>0.14499999999999999</v>
      </c>
      <c r="I52" s="1">
        <v>0.12</v>
      </c>
    </row>
    <row r="53" spans="1:9" x14ac:dyDescent="0.3">
      <c r="A53" t="s">
        <v>88</v>
      </c>
      <c r="B53" s="2">
        <v>0.44999999999999996</v>
      </c>
      <c r="C53" s="2">
        <v>0.75</v>
      </c>
      <c r="D53" s="2">
        <v>0.15</v>
      </c>
      <c r="E53" s="2">
        <v>0.45</v>
      </c>
      <c r="F53" s="1">
        <v>0.23</v>
      </c>
      <c r="G53" s="1">
        <v>0.15</v>
      </c>
      <c r="H53" s="1">
        <v>0.23</v>
      </c>
      <c r="I53" s="1">
        <v>0.23</v>
      </c>
    </row>
    <row r="54" spans="1:9" x14ac:dyDescent="0.3">
      <c r="A54" t="s">
        <v>93</v>
      </c>
      <c r="B54" s="2">
        <v>0.66</v>
      </c>
      <c r="C54" s="2">
        <v>0.71</v>
      </c>
      <c r="D54" s="2">
        <v>0.9</v>
      </c>
      <c r="E54" s="2">
        <v>0.38</v>
      </c>
      <c r="F54" s="1">
        <v>0.38</v>
      </c>
      <c r="G54" s="1">
        <v>0.24</v>
      </c>
      <c r="H54" s="1">
        <v>0.24</v>
      </c>
      <c r="I54" s="1">
        <v>0.24</v>
      </c>
    </row>
    <row r="55" spans="1:9" x14ac:dyDescent="0.3">
      <c r="A55" t="s">
        <v>95</v>
      </c>
      <c r="B55" s="2">
        <v>0.57999999999999996</v>
      </c>
      <c r="C55" s="2">
        <v>0.57999999999999996</v>
      </c>
      <c r="D55" s="2">
        <v>0.26</v>
      </c>
      <c r="E55" s="2">
        <v>0.7</v>
      </c>
      <c r="F55" s="1">
        <v>0.26</v>
      </c>
      <c r="G55" s="1">
        <v>0.26</v>
      </c>
      <c r="H55" s="1">
        <v>0.26</v>
      </c>
      <c r="I55" s="1">
        <v>0.26</v>
      </c>
    </row>
    <row r="56" spans="1:9" x14ac:dyDescent="0.3">
      <c r="A56" t="s">
        <v>97</v>
      </c>
      <c r="B56" s="2">
        <v>0.12</v>
      </c>
      <c r="C56" s="2">
        <v>0.12</v>
      </c>
      <c r="D56" s="2">
        <v>0.12</v>
      </c>
      <c r="E56" s="2">
        <v>0.08</v>
      </c>
      <c r="F56" s="1">
        <v>0.08</v>
      </c>
      <c r="G56" s="1">
        <v>0.08</v>
      </c>
      <c r="H56" s="1">
        <v>0.08</v>
      </c>
      <c r="I56" s="1">
        <v>0.12</v>
      </c>
    </row>
    <row r="57" spans="1:9" x14ac:dyDescent="0.3">
      <c r="A57" t="s">
        <v>98</v>
      </c>
      <c r="B57" s="2">
        <v>0.43</v>
      </c>
      <c r="C57" s="2">
        <v>1.33</v>
      </c>
      <c r="D57" s="2">
        <v>0.43</v>
      </c>
      <c r="E57" s="2">
        <v>0.28000000000000003</v>
      </c>
      <c r="F57" s="1">
        <v>0.63</v>
      </c>
      <c r="G57" s="1">
        <v>0.63</v>
      </c>
      <c r="H57" s="1">
        <v>0.67</v>
      </c>
      <c r="I57" s="1">
        <v>0.28000000000000003</v>
      </c>
    </row>
    <row r="58" spans="1:9" x14ac:dyDescent="0.3">
      <c r="A58" t="s">
        <v>105</v>
      </c>
      <c r="B58" s="2">
        <v>2.0299999999999998</v>
      </c>
      <c r="C58" s="2">
        <v>2.0299999999999998</v>
      </c>
      <c r="D58" s="2">
        <v>1.0900000000000001</v>
      </c>
      <c r="E58" s="2">
        <v>5.34</v>
      </c>
      <c r="F58" s="1">
        <v>1.0900000000000001</v>
      </c>
      <c r="G58" s="1">
        <v>1.0900000000000001</v>
      </c>
      <c r="H58" s="1">
        <v>18.18</v>
      </c>
      <c r="I58" s="1">
        <v>2.0299999999999998</v>
      </c>
    </row>
    <row r="59" spans="1:9" x14ac:dyDescent="0.3">
      <c r="A59" t="s">
        <v>107</v>
      </c>
      <c r="B59" s="2">
        <v>0.26500000000000001</v>
      </c>
      <c r="C59" s="2">
        <v>0.22</v>
      </c>
      <c r="D59" s="2">
        <v>0.26500000000000001</v>
      </c>
      <c r="E59" s="2">
        <v>0.31</v>
      </c>
      <c r="F59" s="1">
        <v>0.27</v>
      </c>
      <c r="G59" s="1">
        <v>0.27</v>
      </c>
      <c r="H59" s="1">
        <v>0.14000000000000001</v>
      </c>
      <c r="I59" s="1">
        <v>0.4</v>
      </c>
    </row>
    <row r="60" spans="1:9" x14ac:dyDescent="0.3">
      <c r="A60" t="s">
        <v>110</v>
      </c>
      <c r="B60" s="2">
        <v>0.3</v>
      </c>
      <c r="C60" s="2">
        <v>0.3</v>
      </c>
      <c r="D60" s="2">
        <v>0.3</v>
      </c>
      <c r="E60" s="2">
        <v>0.3</v>
      </c>
      <c r="F60" s="1">
        <v>0.3</v>
      </c>
      <c r="G60" s="1">
        <v>0.91</v>
      </c>
      <c r="H60" s="1">
        <v>0.48</v>
      </c>
      <c r="I60" s="1">
        <v>0.48</v>
      </c>
    </row>
    <row r="61" spans="1:9" x14ac:dyDescent="0.3">
      <c r="A61" t="s">
        <v>112</v>
      </c>
      <c r="B61" s="2">
        <v>0.14000000000000001</v>
      </c>
      <c r="C61" s="2">
        <v>0.14000000000000001</v>
      </c>
      <c r="D61" s="2">
        <v>0.14000000000000001</v>
      </c>
      <c r="E61" s="2">
        <v>0.14000000000000001</v>
      </c>
      <c r="F61" s="1">
        <v>0.22</v>
      </c>
      <c r="G61" s="1">
        <v>0.14000000000000001</v>
      </c>
      <c r="H61" s="1">
        <v>0.25</v>
      </c>
      <c r="I61" s="1">
        <v>0.39</v>
      </c>
    </row>
    <row r="62" spans="1:9" x14ac:dyDescent="0.3">
      <c r="A62" t="s">
        <v>120</v>
      </c>
      <c r="B62" s="2">
        <v>0.23</v>
      </c>
      <c r="C62" s="2">
        <v>0.32</v>
      </c>
      <c r="D62" s="2">
        <v>0.23</v>
      </c>
      <c r="E62" s="2">
        <v>0.15</v>
      </c>
      <c r="F62" s="1">
        <v>0.15</v>
      </c>
      <c r="G62" s="1">
        <v>0.23</v>
      </c>
      <c r="H62" s="1">
        <v>0.19</v>
      </c>
      <c r="I62" s="1">
        <v>0.19</v>
      </c>
    </row>
    <row r="63" spans="1:9" x14ac:dyDescent="0.3">
      <c r="A63" t="s">
        <v>123</v>
      </c>
      <c r="B63" s="2">
        <v>0.04</v>
      </c>
      <c r="C63" s="2">
        <v>0.1</v>
      </c>
      <c r="D63" s="2">
        <v>0.04</v>
      </c>
      <c r="E63" s="2">
        <v>0.04</v>
      </c>
      <c r="F63" s="1">
        <v>7.0000000000000007E-2</v>
      </c>
      <c r="G63" s="1">
        <v>0.04</v>
      </c>
      <c r="H63" s="1">
        <v>7.0000000000000007E-2</v>
      </c>
      <c r="I63" s="1">
        <v>0.1</v>
      </c>
    </row>
    <row r="64" spans="1:9" x14ac:dyDescent="0.3">
      <c r="A64" t="s">
        <v>126</v>
      </c>
      <c r="B64" s="2">
        <v>0.35499999999999998</v>
      </c>
      <c r="C64" s="2">
        <v>0.61</v>
      </c>
      <c r="D64" s="2">
        <v>0.35499999999999998</v>
      </c>
      <c r="E64" s="2">
        <v>0.1</v>
      </c>
      <c r="F64" s="1">
        <v>0.1</v>
      </c>
      <c r="G64" s="1">
        <v>0.1</v>
      </c>
      <c r="H64" s="1">
        <v>0.1</v>
      </c>
      <c r="I64" s="1">
        <v>0.15</v>
      </c>
    </row>
    <row r="65" spans="1:9" x14ac:dyDescent="0.3">
      <c r="A65" t="s">
        <v>131</v>
      </c>
      <c r="B65" s="2">
        <v>1.7650000000000001</v>
      </c>
      <c r="C65" s="2">
        <v>2.4300000000000002</v>
      </c>
      <c r="D65" s="2">
        <v>1.7649999999999999</v>
      </c>
      <c r="E65" s="2">
        <v>1.1000000000000001</v>
      </c>
      <c r="F65" s="1">
        <v>1.125</v>
      </c>
      <c r="G65" s="1">
        <v>1.47</v>
      </c>
      <c r="H65" s="1">
        <v>1.125</v>
      </c>
      <c r="I65" s="1">
        <v>0.78</v>
      </c>
    </row>
    <row r="66" spans="1:9" x14ac:dyDescent="0.3">
      <c r="A66" t="s">
        <v>132</v>
      </c>
      <c r="B66" s="2">
        <v>2.36</v>
      </c>
      <c r="C66" s="2">
        <v>2.09</v>
      </c>
      <c r="D66" s="2">
        <v>2.36</v>
      </c>
      <c r="E66" s="2">
        <v>2.63</v>
      </c>
      <c r="F66" s="1">
        <v>4.88</v>
      </c>
      <c r="G66" s="1">
        <v>3.26</v>
      </c>
      <c r="H66" s="1">
        <v>2.35</v>
      </c>
      <c r="I66" s="1">
        <v>5.37</v>
      </c>
    </row>
    <row r="67" spans="1:9" x14ac:dyDescent="0.3">
      <c r="A67" t="s">
        <v>136</v>
      </c>
      <c r="B67" s="2">
        <v>0.12000000000000001</v>
      </c>
      <c r="C67" s="2">
        <v>0.12</v>
      </c>
      <c r="D67" s="2">
        <v>0.19</v>
      </c>
      <c r="E67" s="2">
        <v>0.05</v>
      </c>
      <c r="F67" s="1">
        <v>0.04</v>
      </c>
      <c r="G67" s="1">
        <v>0.03</v>
      </c>
      <c r="H67" s="1">
        <v>0.1</v>
      </c>
      <c r="I67" s="1">
        <v>0.04</v>
      </c>
    </row>
    <row r="68" spans="1:9" x14ac:dyDescent="0.3">
      <c r="A68" t="s">
        <v>141</v>
      </c>
      <c r="B68" s="2">
        <v>0.40500000000000003</v>
      </c>
      <c r="C68" s="2">
        <v>0.40500000000000003</v>
      </c>
      <c r="D68" s="2">
        <v>0.5</v>
      </c>
      <c r="E68" s="2">
        <v>0.31</v>
      </c>
      <c r="F68" s="1">
        <v>0.31</v>
      </c>
      <c r="G68" s="1">
        <v>0.31</v>
      </c>
      <c r="H68" s="1">
        <v>0.31</v>
      </c>
      <c r="I68" s="1">
        <v>0.31</v>
      </c>
    </row>
    <row r="69" spans="1:9" x14ac:dyDescent="0.3">
      <c r="A69" t="s">
        <v>146</v>
      </c>
      <c r="B69" s="2">
        <v>0.67</v>
      </c>
      <c r="C69" s="2">
        <v>0.67</v>
      </c>
      <c r="D69" s="2">
        <v>0.67</v>
      </c>
      <c r="E69" s="2">
        <v>0.67</v>
      </c>
      <c r="F69" s="1">
        <v>0.84</v>
      </c>
      <c r="G69" s="1">
        <v>0.84</v>
      </c>
      <c r="H69" s="1">
        <v>0.53</v>
      </c>
      <c r="I69" s="1">
        <v>1.1499999999999999</v>
      </c>
    </row>
    <row r="70" spans="1:9" x14ac:dyDescent="0.3">
      <c r="A70" t="s">
        <v>111</v>
      </c>
      <c r="B70" s="2">
        <v>1.07</v>
      </c>
      <c r="C70" s="2">
        <v>1.07</v>
      </c>
      <c r="D70" s="2">
        <v>1.07</v>
      </c>
      <c r="E70" s="2">
        <v>1.07</v>
      </c>
      <c r="F70" s="1">
        <v>1.64</v>
      </c>
      <c r="G70" s="1">
        <v>1.64</v>
      </c>
      <c r="H70" s="1">
        <v>1.64</v>
      </c>
      <c r="I70" s="1">
        <v>1.64</v>
      </c>
    </row>
    <row r="71" spans="1:9" x14ac:dyDescent="0.3">
      <c r="A71" t="s">
        <v>49</v>
      </c>
      <c r="B71" s="1">
        <v>0.7</v>
      </c>
      <c r="C71" s="1">
        <f>MEDIAN(B71,D71)</f>
        <v>0.53499999999999992</v>
      </c>
      <c r="D71" s="1">
        <v>0.37</v>
      </c>
      <c r="E71" s="1">
        <v>0.53500000000000003</v>
      </c>
      <c r="F71" s="1">
        <v>1.1000000000000001</v>
      </c>
      <c r="G71" s="1">
        <v>1.1000000000000001</v>
      </c>
      <c r="H71" s="1">
        <v>1.1000000000000001</v>
      </c>
      <c r="I71" s="1">
        <v>1.1000000000000001</v>
      </c>
    </row>
    <row r="72" spans="1:9" x14ac:dyDescent="0.3">
      <c r="A72" t="s">
        <v>150</v>
      </c>
      <c r="B72" s="1">
        <v>14.35</v>
      </c>
      <c r="C72" s="1">
        <v>14.35</v>
      </c>
      <c r="D72" s="1">
        <v>14.35</v>
      </c>
      <c r="E72" s="1">
        <v>14.35</v>
      </c>
      <c r="F72" s="1">
        <v>10.68</v>
      </c>
      <c r="G72" s="1">
        <v>10.68</v>
      </c>
      <c r="H72" s="1">
        <v>10.68</v>
      </c>
      <c r="I72" s="1">
        <v>10.68</v>
      </c>
    </row>
    <row r="73" spans="1:9" x14ac:dyDescent="0.3">
      <c r="A73" t="s">
        <v>148</v>
      </c>
      <c r="B73" s="1">
        <v>0.71</v>
      </c>
      <c r="C73" s="1">
        <v>0.71</v>
      </c>
      <c r="D73" s="1">
        <v>0.71</v>
      </c>
      <c r="E73" s="1">
        <v>0.71</v>
      </c>
      <c r="F73" s="1">
        <f>MEDIAN(G73,I73)</f>
        <v>0.31</v>
      </c>
      <c r="G73" s="1">
        <v>0.38</v>
      </c>
      <c r="H73" s="1">
        <v>0.31</v>
      </c>
      <c r="I73" s="1">
        <v>0.24</v>
      </c>
    </row>
    <row r="74" spans="1:9" x14ac:dyDescent="0.3">
      <c r="A74" t="s">
        <v>29</v>
      </c>
      <c r="B74" s="1">
        <v>0.49</v>
      </c>
      <c r="C74" s="1">
        <f>MEDIAN(B74,E74)</f>
        <v>0.35499999999999998</v>
      </c>
      <c r="D74" s="1">
        <v>0.35499999999999998</v>
      </c>
      <c r="E74" s="1">
        <v>0.22</v>
      </c>
      <c r="F74" s="1">
        <v>0.49</v>
      </c>
      <c r="G74" s="1">
        <v>0.49</v>
      </c>
      <c r="H74" s="1">
        <v>0.49</v>
      </c>
      <c r="I74" s="1">
        <v>0.49</v>
      </c>
    </row>
    <row r="75" spans="1:9" x14ac:dyDescent="0.3">
      <c r="A75" t="s">
        <v>104</v>
      </c>
      <c r="B75" s="1">
        <v>0.72</v>
      </c>
      <c r="C75" s="1">
        <v>0.72</v>
      </c>
      <c r="D75" s="1">
        <v>0.72</v>
      </c>
      <c r="E75" s="1">
        <v>0.72</v>
      </c>
      <c r="F75" s="1">
        <v>1.96</v>
      </c>
      <c r="G75" s="1">
        <v>1.96</v>
      </c>
      <c r="H75" s="1">
        <v>1.96</v>
      </c>
      <c r="I75" s="1">
        <v>1.96</v>
      </c>
    </row>
    <row r="76" spans="1:9" x14ac:dyDescent="0.3">
      <c r="A76" t="s">
        <v>79</v>
      </c>
      <c r="B76" s="1">
        <v>0.28000000000000003</v>
      </c>
      <c r="C76" s="1">
        <v>0.28000000000000003</v>
      </c>
      <c r="D76" s="1">
        <v>0.28000000000000003</v>
      </c>
      <c r="E76" s="1">
        <v>0.28000000000000003</v>
      </c>
      <c r="F76" s="1">
        <v>0.44</v>
      </c>
      <c r="G76" s="1">
        <v>0.44</v>
      </c>
      <c r="H76" s="1">
        <v>0.44</v>
      </c>
      <c r="I76" s="1">
        <v>0.44</v>
      </c>
    </row>
    <row r="77" spans="1:9" x14ac:dyDescent="0.3">
      <c r="A77" t="s">
        <v>80</v>
      </c>
      <c r="B77" s="1">
        <v>0.2</v>
      </c>
      <c r="C77" s="1">
        <v>0.2</v>
      </c>
      <c r="D77" s="1">
        <v>0.2</v>
      </c>
      <c r="E77" s="1">
        <v>0.2</v>
      </c>
      <c r="F77" s="1">
        <v>0.2</v>
      </c>
      <c r="G77" s="1">
        <f>MEDIAN(F77,I77)</f>
        <v>0.26</v>
      </c>
      <c r="H77" s="1">
        <v>0.26</v>
      </c>
      <c r="I77" s="1">
        <v>0.32</v>
      </c>
    </row>
    <row r="78" spans="1:9" x14ac:dyDescent="0.3">
      <c r="A78" t="s">
        <v>142</v>
      </c>
      <c r="B78" s="1">
        <v>0.32</v>
      </c>
      <c r="C78" s="1">
        <v>0.32</v>
      </c>
      <c r="D78" s="1">
        <v>0.32</v>
      </c>
      <c r="E78" s="1">
        <v>0.32</v>
      </c>
      <c r="F78" s="1">
        <v>0.2</v>
      </c>
      <c r="G78" s="1">
        <v>0.2</v>
      </c>
      <c r="H78" s="1">
        <v>0.2</v>
      </c>
      <c r="I78" s="1">
        <v>0.2</v>
      </c>
    </row>
    <row r="79" spans="1:9" x14ac:dyDescent="0.3">
      <c r="A79" t="s">
        <v>147</v>
      </c>
      <c r="B79" s="1">
        <v>0.28000000000000003</v>
      </c>
      <c r="C79" s="1">
        <v>0.28000000000000003</v>
      </c>
      <c r="D79" s="1">
        <v>0.28000000000000003</v>
      </c>
      <c r="E79" s="1">
        <v>0.28000000000000003</v>
      </c>
      <c r="F79" s="1">
        <v>1.49</v>
      </c>
      <c r="G79" s="1">
        <v>1.49</v>
      </c>
      <c r="H79" s="1">
        <v>1.49</v>
      </c>
      <c r="I79" s="1">
        <v>1.49</v>
      </c>
    </row>
    <row r="80" spans="1:9" x14ac:dyDescent="0.3">
      <c r="A80" t="s">
        <v>92</v>
      </c>
      <c r="B80" s="1">
        <v>0.18</v>
      </c>
      <c r="C80" s="1">
        <v>0.18</v>
      </c>
      <c r="D80" s="1">
        <v>0.18</v>
      </c>
      <c r="E80" s="1">
        <v>0.18</v>
      </c>
      <c r="F80" s="1">
        <v>0.27</v>
      </c>
      <c r="G80" s="1">
        <v>0.18</v>
      </c>
      <c r="H80" s="1">
        <f>MEDIAN(F80:G80)</f>
        <v>0.22500000000000001</v>
      </c>
      <c r="I80" s="1">
        <v>0.22500000000000001</v>
      </c>
    </row>
    <row r="81" spans="1:9" x14ac:dyDescent="0.3">
      <c r="A81" t="s">
        <v>102</v>
      </c>
      <c r="B81" s="1">
        <v>0.27</v>
      </c>
      <c r="C81" s="1">
        <v>0.27</v>
      </c>
      <c r="D81" s="1">
        <v>0.27</v>
      </c>
      <c r="E81" s="1">
        <v>0.27</v>
      </c>
      <c r="F81" s="1">
        <v>0.42</v>
      </c>
      <c r="G81" s="1">
        <v>0.42</v>
      </c>
      <c r="H81" s="1">
        <v>0.42</v>
      </c>
      <c r="I81" s="1">
        <v>0.42</v>
      </c>
    </row>
    <row r="82" spans="1:9" x14ac:dyDescent="0.3">
      <c r="A82" t="s">
        <v>155</v>
      </c>
      <c r="B82" s="1">
        <v>0.1</v>
      </c>
      <c r="C82" s="1">
        <v>0.1</v>
      </c>
      <c r="D82" s="1">
        <v>0.1</v>
      </c>
      <c r="E82" s="1">
        <v>0.1</v>
      </c>
      <c r="F82" s="1">
        <v>0.1</v>
      </c>
      <c r="G82" s="1">
        <f>MEDIAN(F82,I82)</f>
        <v>0.125</v>
      </c>
      <c r="H82" s="1">
        <v>0.125</v>
      </c>
      <c r="I82" s="1">
        <v>0.15</v>
      </c>
    </row>
    <row r="83" spans="1:9" x14ac:dyDescent="0.3">
      <c r="A83" t="s">
        <v>138</v>
      </c>
      <c r="B83" s="1">
        <v>0.08</v>
      </c>
      <c r="C83" s="1">
        <v>0.08</v>
      </c>
      <c r="D83" s="1">
        <v>0.08</v>
      </c>
      <c r="E83" s="1">
        <v>0.08</v>
      </c>
      <c r="F83" s="1">
        <f>MEDIAN(G83:H83)</f>
        <v>0.17499999999999999</v>
      </c>
      <c r="G83" s="1">
        <v>0.27</v>
      </c>
      <c r="H83" s="1">
        <v>0.08</v>
      </c>
      <c r="I83" s="1">
        <v>0.17499999999999999</v>
      </c>
    </row>
    <row r="84" spans="1:9" ht="15" customHeight="1" x14ac:dyDescent="0.3">
      <c r="A84" t="s">
        <v>122</v>
      </c>
      <c r="B84" s="1">
        <f>MEDIAN(C84:D84)</f>
        <v>4.4999999999999998E-2</v>
      </c>
      <c r="C84" s="1">
        <v>0.06</v>
      </c>
      <c r="D84" s="1">
        <v>0.03</v>
      </c>
      <c r="E84" s="1">
        <v>4.4999999999999998E-2</v>
      </c>
      <c r="F84" s="1">
        <v>0.03</v>
      </c>
      <c r="G84" s="1">
        <v>0.03</v>
      </c>
      <c r="H84" s="1">
        <v>0.03</v>
      </c>
      <c r="I84" s="1">
        <v>0.03</v>
      </c>
    </row>
    <row r="85" spans="1:9" x14ac:dyDescent="0.3">
      <c r="A85" t="s">
        <v>115</v>
      </c>
      <c r="B85" s="1">
        <v>0.25</v>
      </c>
      <c r="C85" s="1">
        <v>0.25</v>
      </c>
      <c r="D85" s="1">
        <v>0.25</v>
      </c>
      <c r="E85" s="1">
        <v>0.25</v>
      </c>
      <c r="F85" s="1">
        <v>0.39</v>
      </c>
      <c r="G85" s="1">
        <v>0.39</v>
      </c>
      <c r="H85" s="1">
        <v>0.39</v>
      </c>
      <c r="I85" s="1">
        <v>0.39</v>
      </c>
    </row>
    <row r="86" spans="1:9" x14ac:dyDescent="0.3">
      <c r="A86" t="s">
        <v>114</v>
      </c>
      <c r="B86" s="1">
        <v>1.46</v>
      </c>
      <c r="C86" s="1">
        <v>1.46</v>
      </c>
      <c r="D86" s="1">
        <v>1.46</v>
      </c>
      <c r="E86" s="1">
        <v>1.46</v>
      </c>
      <c r="F86" s="1">
        <f>MEDIAN(G86,I86)</f>
        <v>0.59499999999999997</v>
      </c>
      <c r="G86" s="1">
        <v>0.88</v>
      </c>
      <c r="H86" s="1">
        <v>0.59499999999999997</v>
      </c>
      <c r="I86" s="1">
        <v>0.31</v>
      </c>
    </row>
    <row r="87" spans="1:9" x14ac:dyDescent="0.3">
      <c r="A87" t="s">
        <v>41</v>
      </c>
      <c r="B87" s="1">
        <v>0.36</v>
      </c>
      <c r="C87" s="1">
        <v>0.36</v>
      </c>
      <c r="D87" s="1">
        <v>0.36</v>
      </c>
      <c r="E87" s="1">
        <v>0.36</v>
      </c>
      <c r="F87" s="1">
        <f>MEDIAN(G87:H87)</f>
        <v>0.23</v>
      </c>
      <c r="G87" s="1">
        <v>0.23</v>
      </c>
      <c r="H87" s="1">
        <v>0.23</v>
      </c>
      <c r="I87" s="1">
        <v>0.23</v>
      </c>
    </row>
    <row r="88" spans="1:9" x14ac:dyDescent="0.3">
      <c r="A88" t="s">
        <v>127</v>
      </c>
      <c r="B88" s="1">
        <v>0.99</v>
      </c>
      <c r="C88" s="1">
        <v>0.99</v>
      </c>
      <c r="D88" s="1">
        <v>0.99</v>
      </c>
      <c r="E88" s="1">
        <v>0.99</v>
      </c>
      <c r="F88" s="1">
        <f>MEDIAN(G88,I88)</f>
        <v>0.41500000000000004</v>
      </c>
      <c r="G88" s="1">
        <v>0.51</v>
      </c>
      <c r="H88" s="1">
        <v>0.41499999999999998</v>
      </c>
      <c r="I88" s="1">
        <v>0.32</v>
      </c>
    </row>
    <row r="89" spans="1:9" x14ac:dyDescent="0.3">
      <c r="A89" t="s">
        <v>82</v>
      </c>
      <c r="B89" s="1">
        <v>3.57</v>
      </c>
      <c r="C89" s="1">
        <v>3.57</v>
      </c>
      <c r="D89" s="1">
        <v>3.57</v>
      </c>
      <c r="E89" s="1">
        <v>3.57</v>
      </c>
      <c r="F89" s="1">
        <v>1.635</v>
      </c>
      <c r="G89" s="1">
        <v>1.1399999999999999</v>
      </c>
      <c r="H89" s="1">
        <f>MEDIAN(G89,I89)</f>
        <v>1.6349999999999998</v>
      </c>
      <c r="I89" s="1">
        <v>2.13</v>
      </c>
    </row>
    <row r="90" spans="1:9" x14ac:dyDescent="0.3">
      <c r="A90" t="s">
        <v>118</v>
      </c>
      <c r="B90" s="1">
        <v>0.37</v>
      </c>
      <c r="C90" s="1">
        <v>0.37</v>
      </c>
      <c r="D90" s="1">
        <v>0.37</v>
      </c>
      <c r="E90" s="1">
        <v>0.37</v>
      </c>
      <c r="F90" s="1">
        <v>1.105</v>
      </c>
      <c r="G90" s="1">
        <f>MEDIAN(H90:I90)</f>
        <v>1.105</v>
      </c>
      <c r="H90" s="1">
        <v>1.6</v>
      </c>
      <c r="I90" s="1">
        <v>0.61</v>
      </c>
    </row>
    <row r="91" spans="1:9" x14ac:dyDescent="0.3">
      <c r="A91" t="s">
        <v>152</v>
      </c>
      <c r="B91" s="1">
        <v>0.3</v>
      </c>
      <c r="C91" s="1">
        <v>0.3</v>
      </c>
      <c r="D91" s="1">
        <v>0.3</v>
      </c>
      <c r="E91" s="1">
        <v>0.3</v>
      </c>
      <c r="F91" s="1">
        <v>0.14000000000000001</v>
      </c>
      <c r="G91" s="1">
        <v>0.14000000000000001</v>
      </c>
      <c r="H91" s="1">
        <v>0.14000000000000001</v>
      </c>
      <c r="I91" s="1">
        <v>0.14000000000000001</v>
      </c>
    </row>
    <row r="92" spans="1:9" x14ac:dyDescent="0.3">
      <c r="A92" t="s">
        <v>130</v>
      </c>
      <c r="B92" s="1">
        <v>0.24</v>
      </c>
      <c r="C92" s="1">
        <v>0.24</v>
      </c>
      <c r="D92" s="1">
        <v>0.24</v>
      </c>
      <c r="E92" s="1">
        <v>0.24</v>
      </c>
      <c r="F92" s="1">
        <v>0.15</v>
      </c>
      <c r="G92" s="1">
        <v>0.15</v>
      </c>
      <c r="H92" s="1">
        <v>0.15</v>
      </c>
      <c r="I92" s="1">
        <v>0.15</v>
      </c>
    </row>
    <row r="93" spans="1:9" x14ac:dyDescent="0.3">
      <c r="A93" t="s">
        <v>133</v>
      </c>
      <c r="B93" s="1">
        <v>0.22</v>
      </c>
      <c r="C93" s="1">
        <v>0.22</v>
      </c>
      <c r="D93" s="1">
        <v>0.22</v>
      </c>
      <c r="E93" s="1">
        <v>0.22</v>
      </c>
      <c r="F93" s="1">
        <v>0.5</v>
      </c>
      <c r="G93" s="1">
        <v>0.22</v>
      </c>
      <c r="H93" s="1">
        <v>0.22</v>
      </c>
      <c r="I93" s="1">
        <v>0.5</v>
      </c>
    </row>
    <row r="94" spans="1:9" x14ac:dyDescent="0.3">
      <c r="A94" t="s">
        <v>113</v>
      </c>
      <c r="B94" s="1">
        <v>1.95</v>
      </c>
      <c r="C94" s="1">
        <v>1.95</v>
      </c>
      <c r="D94" s="1">
        <v>1.95</v>
      </c>
      <c r="E94" s="1">
        <v>1.95</v>
      </c>
      <c r="F94" s="1">
        <v>2.54</v>
      </c>
      <c r="G94" s="1">
        <v>2.54</v>
      </c>
      <c r="H94" s="1">
        <v>2.54</v>
      </c>
      <c r="I94" s="1">
        <v>2.54</v>
      </c>
    </row>
    <row r="95" spans="1:9" x14ac:dyDescent="0.3">
      <c r="A95" t="s">
        <v>100</v>
      </c>
      <c r="B95" s="1">
        <v>0.06</v>
      </c>
      <c r="C95" s="1">
        <v>0.06</v>
      </c>
      <c r="D95" s="1">
        <v>0.06</v>
      </c>
      <c r="E95" s="1">
        <v>0.06</v>
      </c>
      <c r="F95" s="1">
        <v>0.12</v>
      </c>
      <c r="G95" s="1">
        <v>0.12</v>
      </c>
      <c r="H95" s="1">
        <v>0.12</v>
      </c>
      <c r="I95" s="1">
        <v>0.12</v>
      </c>
    </row>
    <row r="96" spans="1:9" x14ac:dyDescent="0.3">
      <c r="A96" t="s">
        <v>116</v>
      </c>
      <c r="B96" s="1">
        <v>0.39</v>
      </c>
      <c r="C96" s="1">
        <v>0.39</v>
      </c>
      <c r="D96" s="1">
        <v>0.39</v>
      </c>
      <c r="E96" s="1">
        <v>0.39</v>
      </c>
      <c r="F96" s="1">
        <v>0.63</v>
      </c>
      <c r="G96" s="1">
        <v>0.63</v>
      </c>
      <c r="H96" s="1">
        <v>0.63</v>
      </c>
      <c r="I96" s="1">
        <v>0.63</v>
      </c>
    </row>
    <row r="97" spans="1:9" x14ac:dyDescent="0.3">
      <c r="A97" t="s">
        <v>24</v>
      </c>
      <c r="B97" s="1">
        <v>0.65</v>
      </c>
      <c r="C97" s="1">
        <v>0.65</v>
      </c>
      <c r="D97" s="1">
        <v>0.65</v>
      </c>
      <c r="E97" s="1">
        <v>0.65</v>
      </c>
      <c r="F97" s="1">
        <v>0.46</v>
      </c>
      <c r="G97" s="1">
        <v>0.46</v>
      </c>
      <c r="H97" s="1">
        <v>0.46</v>
      </c>
      <c r="I97" s="1">
        <v>0.46</v>
      </c>
    </row>
    <row r="98" spans="1:9" x14ac:dyDescent="0.3">
      <c r="A98" t="s">
        <v>144</v>
      </c>
      <c r="B98" s="1">
        <v>0.27</v>
      </c>
      <c r="C98" s="1">
        <v>0.27</v>
      </c>
      <c r="D98" s="1">
        <v>0.27</v>
      </c>
      <c r="E98" s="1">
        <v>0.27</v>
      </c>
      <c r="F98" s="1">
        <v>0.17</v>
      </c>
      <c r="G98" s="1">
        <v>0.17</v>
      </c>
      <c r="H98" s="1">
        <v>0.17</v>
      </c>
      <c r="I98" s="1">
        <v>0.17</v>
      </c>
    </row>
    <row r="99" spans="1:9" x14ac:dyDescent="0.3">
      <c r="A99" t="s">
        <v>54</v>
      </c>
      <c r="B99" s="1">
        <v>0.33</v>
      </c>
      <c r="C99" s="1">
        <v>0.33</v>
      </c>
      <c r="D99" s="1">
        <v>0.33</v>
      </c>
      <c r="E99" s="1">
        <v>0.33</v>
      </c>
      <c r="F99" s="1">
        <v>0.24</v>
      </c>
      <c r="G99" s="1">
        <v>0.15</v>
      </c>
      <c r="H99" s="1">
        <f>MEDIAN(G99,I99)</f>
        <v>0.24</v>
      </c>
      <c r="I99" s="1">
        <v>0.33</v>
      </c>
    </row>
    <row r="100" spans="1:9" x14ac:dyDescent="0.3">
      <c r="A100" t="s">
        <v>109</v>
      </c>
      <c r="B100" s="1">
        <v>0.37</v>
      </c>
      <c r="C100" s="1">
        <v>0.41</v>
      </c>
      <c r="D100" s="1">
        <f>MEDIAN(C100,E100)</f>
        <v>0.37</v>
      </c>
      <c r="E100" s="1">
        <v>0.33</v>
      </c>
      <c r="F100" s="1">
        <v>0.77</v>
      </c>
      <c r="G100" s="1">
        <v>0.77</v>
      </c>
      <c r="H100" s="1">
        <v>0.77</v>
      </c>
      <c r="I100" s="1">
        <v>0.77</v>
      </c>
    </row>
    <row r="101" spans="1:9" x14ac:dyDescent="0.3">
      <c r="A101" t="s">
        <v>125</v>
      </c>
      <c r="B101" s="1">
        <v>0.54</v>
      </c>
      <c r="C101" s="1">
        <v>0.54</v>
      </c>
      <c r="D101" s="1">
        <v>0.54</v>
      </c>
      <c r="E101" s="1">
        <v>0.54</v>
      </c>
      <c r="F101" s="1">
        <v>0.24</v>
      </c>
      <c r="G101" s="1">
        <v>0.24</v>
      </c>
      <c r="H101" s="1">
        <v>0.24</v>
      </c>
      <c r="I101" s="1">
        <v>0.24</v>
      </c>
    </row>
    <row r="102" spans="1:9" x14ac:dyDescent="0.3">
      <c r="A102" t="s">
        <v>135</v>
      </c>
      <c r="B102" s="1">
        <v>0.14000000000000001</v>
      </c>
      <c r="C102" s="1">
        <v>0.14000000000000001</v>
      </c>
      <c r="D102" s="1">
        <v>0.14000000000000001</v>
      </c>
      <c r="E102" s="1">
        <v>0.14000000000000001</v>
      </c>
      <c r="F102" s="1">
        <v>0.26</v>
      </c>
      <c r="G102" s="1">
        <v>0.26</v>
      </c>
      <c r="H102" s="1">
        <v>0.26</v>
      </c>
      <c r="I102" s="1">
        <v>0.26</v>
      </c>
    </row>
    <row r="103" spans="1:9" x14ac:dyDescent="0.3">
      <c r="A103" t="s">
        <v>154</v>
      </c>
      <c r="B103" s="1">
        <v>0.3</v>
      </c>
      <c r="C103" s="1">
        <v>0.3</v>
      </c>
      <c r="D103" s="1">
        <v>0.3</v>
      </c>
      <c r="E103" s="1">
        <v>0.3</v>
      </c>
      <c r="F103" s="1">
        <v>0.19</v>
      </c>
      <c r="G103" s="1">
        <v>0.42</v>
      </c>
      <c r="H103" s="1">
        <v>0.55000000000000004</v>
      </c>
      <c r="I103" s="1">
        <v>0.42</v>
      </c>
    </row>
    <row r="104" spans="1:9" x14ac:dyDescent="0.3">
      <c r="A104" t="s">
        <v>25</v>
      </c>
      <c r="B104" s="1">
        <v>0.33</v>
      </c>
      <c r="C104" s="1">
        <v>0.33</v>
      </c>
      <c r="D104" s="1">
        <v>0.33</v>
      </c>
      <c r="E104" s="1">
        <v>0.33</v>
      </c>
      <c r="F104" s="1">
        <v>0.24</v>
      </c>
      <c r="G104" s="1">
        <v>0.24</v>
      </c>
      <c r="H104" s="1">
        <v>0.24</v>
      </c>
      <c r="I104" s="1">
        <v>0.24</v>
      </c>
    </row>
    <row r="105" spans="1:9" x14ac:dyDescent="0.3">
      <c r="A105" t="s">
        <v>37</v>
      </c>
      <c r="B105" s="1">
        <v>0.22</v>
      </c>
      <c r="C105" s="1">
        <v>0.22</v>
      </c>
      <c r="D105" s="1">
        <v>0.22</v>
      </c>
      <c r="E105" s="1">
        <v>0.22</v>
      </c>
      <c r="F105" s="1">
        <v>0.34</v>
      </c>
      <c r="G105" s="1">
        <v>0.34</v>
      </c>
      <c r="H105" s="1">
        <v>0.34</v>
      </c>
      <c r="I105" s="1">
        <v>0.34</v>
      </c>
    </row>
    <row r="106" spans="1:9" x14ac:dyDescent="0.3">
      <c r="A106" t="s">
        <v>89</v>
      </c>
      <c r="B106" s="1">
        <v>0.3</v>
      </c>
      <c r="C106" s="1">
        <v>0.3</v>
      </c>
      <c r="D106" s="1">
        <v>0.3</v>
      </c>
      <c r="E106" s="1">
        <v>0.3</v>
      </c>
      <c r="F106" s="1">
        <v>0.19</v>
      </c>
      <c r="G106" s="1">
        <v>0.19</v>
      </c>
      <c r="H106" s="1">
        <v>0.19</v>
      </c>
      <c r="I106" s="1">
        <v>0.19</v>
      </c>
    </row>
    <row r="107" spans="1:9" x14ac:dyDescent="0.3">
      <c r="A107" t="s">
        <v>139</v>
      </c>
      <c r="B107" s="1">
        <v>0.66</v>
      </c>
      <c r="C107" s="1">
        <v>0.66</v>
      </c>
      <c r="D107" s="1">
        <v>0.66</v>
      </c>
      <c r="E107" s="1">
        <v>0.66</v>
      </c>
      <c r="F107" s="1">
        <v>0.97</v>
      </c>
      <c r="G107" s="1">
        <v>0.97</v>
      </c>
      <c r="H107" s="1">
        <v>0.97</v>
      </c>
      <c r="I107" s="1">
        <v>0.97</v>
      </c>
    </row>
    <row r="108" spans="1:9" x14ac:dyDescent="0.3">
      <c r="A108" t="s">
        <v>172</v>
      </c>
      <c r="B108" s="1">
        <v>0.64</v>
      </c>
      <c r="C108" s="1">
        <v>0.64</v>
      </c>
      <c r="D108" s="1">
        <v>0.64</v>
      </c>
      <c r="E108" s="1">
        <v>0.64</v>
      </c>
      <c r="F108" s="1">
        <v>0.28000000000000003</v>
      </c>
      <c r="G108" s="1">
        <v>0.28000000000000003</v>
      </c>
      <c r="H108" s="1">
        <v>0.28000000000000003</v>
      </c>
      <c r="I108" s="1">
        <v>0.28000000000000003</v>
      </c>
    </row>
    <row r="109" spans="1:9" x14ac:dyDescent="0.3">
      <c r="A109" t="s">
        <v>71</v>
      </c>
      <c r="B109" s="1">
        <v>0.18</v>
      </c>
      <c r="C109" s="1">
        <v>0.18</v>
      </c>
      <c r="D109" s="1">
        <v>0.18</v>
      </c>
      <c r="E109" s="1">
        <v>0.18</v>
      </c>
      <c r="F109" s="1">
        <v>0.64</v>
      </c>
      <c r="G109" s="1">
        <v>0.64</v>
      </c>
      <c r="H109" s="1">
        <v>0.64</v>
      </c>
      <c r="I109" s="1">
        <v>0.64</v>
      </c>
    </row>
    <row r="110" spans="1:9" x14ac:dyDescent="0.3">
      <c r="A110" t="s">
        <v>42</v>
      </c>
      <c r="B110" s="1">
        <v>0.19</v>
      </c>
      <c r="C110" s="1">
        <v>0.14000000000000001</v>
      </c>
      <c r="D110" s="1">
        <f>MEDIAN(B110:C110)</f>
        <v>0.16500000000000001</v>
      </c>
      <c r="E110" s="1">
        <v>0.13500000000000001</v>
      </c>
      <c r="F110" s="1">
        <v>0.09</v>
      </c>
      <c r="G110" s="1">
        <v>0.09</v>
      </c>
      <c r="H110" s="1">
        <v>0.09</v>
      </c>
      <c r="I110" s="1">
        <v>0.09</v>
      </c>
    </row>
    <row r="111" spans="1:9" x14ac:dyDescent="0.3">
      <c r="A111" t="s">
        <v>81</v>
      </c>
      <c r="B111" s="1">
        <v>0.19</v>
      </c>
      <c r="C111" s="1">
        <v>0.19</v>
      </c>
      <c r="D111" s="1">
        <v>0.19</v>
      </c>
      <c r="E111" s="1">
        <v>0.19</v>
      </c>
      <c r="F111" s="1">
        <v>0.19</v>
      </c>
      <c r="G111" s="1">
        <v>0.28999999999999998</v>
      </c>
      <c r="H111" s="1">
        <v>0.19</v>
      </c>
      <c r="I111" s="1">
        <v>0.19</v>
      </c>
    </row>
    <row r="112" spans="1:9" x14ac:dyDescent="0.3">
      <c r="A112" t="s">
        <v>140</v>
      </c>
      <c r="B112" s="1">
        <v>0.35</v>
      </c>
      <c r="C112" s="1">
        <v>0.35</v>
      </c>
      <c r="D112" s="1">
        <v>0.35</v>
      </c>
      <c r="E112" s="1">
        <v>0.35</v>
      </c>
      <c r="F112" s="1">
        <v>0.56999999999999995</v>
      </c>
      <c r="G112" s="1">
        <v>0.56999999999999995</v>
      </c>
      <c r="H112" s="1">
        <v>0.56999999999999995</v>
      </c>
      <c r="I112" s="1">
        <v>0.56999999999999995</v>
      </c>
    </row>
    <row r="113" spans="1:9" x14ac:dyDescent="0.3">
      <c r="A113" t="s">
        <v>75</v>
      </c>
      <c r="B113" s="1">
        <v>0.08</v>
      </c>
      <c r="C113" s="1">
        <v>0.12</v>
      </c>
      <c r="D113" s="1">
        <f>MEDIAN(B113:C113)</f>
        <v>0.1</v>
      </c>
      <c r="E113" s="1">
        <v>0.1</v>
      </c>
      <c r="F113" s="1">
        <v>0.12</v>
      </c>
      <c r="G113" s="1">
        <v>0.12</v>
      </c>
      <c r="H113" s="1">
        <v>0.12</v>
      </c>
      <c r="I113" s="1">
        <v>0.12</v>
      </c>
    </row>
    <row r="114" spans="1:9" x14ac:dyDescent="0.3">
      <c r="A114" t="s">
        <v>51</v>
      </c>
      <c r="B114" s="1">
        <v>0.25</v>
      </c>
      <c r="C114" s="1">
        <v>0.4</v>
      </c>
      <c r="D114" s="1">
        <f>MEDIAN(B114:C114)</f>
        <v>0.32500000000000001</v>
      </c>
      <c r="E114" s="1">
        <f>MEDIAN(C114:D114)</f>
        <v>0.36250000000000004</v>
      </c>
      <c r="F114" s="1">
        <v>0.25</v>
      </c>
      <c r="G114" s="1">
        <v>0.25</v>
      </c>
      <c r="H114" s="1">
        <v>0.25</v>
      </c>
      <c r="I114" s="1">
        <v>0.25</v>
      </c>
    </row>
    <row r="115" spans="1:9" x14ac:dyDescent="0.3">
      <c r="A115" t="s">
        <v>124</v>
      </c>
      <c r="B115" s="1">
        <v>0.99</v>
      </c>
      <c r="C115" s="1">
        <v>0.99</v>
      </c>
      <c r="D115" s="1">
        <v>0.99</v>
      </c>
      <c r="E115" s="1">
        <v>0.99</v>
      </c>
      <c r="F115" s="1">
        <f>MEDIAN(G115,I115)</f>
        <v>1.395</v>
      </c>
      <c r="G115" s="1">
        <v>0.99</v>
      </c>
      <c r="H115" s="1">
        <v>1.395</v>
      </c>
      <c r="I115" s="1">
        <v>1.8</v>
      </c>
    </row>
    <row r="116" spans="1:9" x14ac:dyDescent="0.3">
      <c r="A116" t="s">
        <v>99</v>
      </c>
      <c r="B116" s="1">
        <v>0.61</v>
      </c>
      <c r="C116" s="1">
        <v>0.61</v>
      </c>
      <c r="D116" s="1">
        <v>0.61</v>
      </c>
      <c r="E116" s="1">
        <v>0.61</v>
      </c>
      <c r="F116" s="1">
        <v>0.27</v>
      </c>
      <c r="G116" s="1">
        <v>0.61</v>
      </c>
      <c r="H116" s="1">
        <v>0.27</v>
      </c>
      <c r="I116" s="1">
        <v>0.81</v>
      </c>
    </row>
    <row r="117" spans="1:9" x14ac:dyDescent="0.3">
      <c r="A117" t="s">
        <v>117</v>
      </c>
      <c r="B117" s="1">
        <v>0.53</v>
      </c>
      <c r="C117" s="1">
        <v>0.53</v>
      </c>
      <c r="D117" s="1">
        <v>0.53</v>
      </c>
      <c r="E117" s="1">
        <v>0.53</v>
      </c>
      <c r="F117" s="1">
        <v>0.33</v>
      </c>
      <c r="G117" s="1">
        <v>0.33</v>
      </c>
      <c r="H117" s="1">
        <v>0.33</v>
      </c>
      <c r="I117" s="1">
        <v>0.33</v>
      </c>
    </row>
    <row r="118" spans="1:9" x14ac:dyDescent="0.3">
      <c r="A118" t="s">
        <v>106</v>
      </c>
      <c r="B118" s="1">
        <v>0.67</v>
      </c>
      <c r="C118" s="1">
        <v>0.67</v>
      </c>
      <c r="D118" s="1">
        <v>0.67</v>
      </c>
      <c r="E118" s="1">
        <v>0.67</v>
      </c>
      <c r="F118" s="1">
        <v>0.41</v>
      </c>
      <c r="G118" s="1">
        <v>0.41</v>
      </c>
      <c r="H118" s="1">
        <v>0.41</v>
      </c>
      <c r="I118" s="1">
        <v>0.41</v>
      </c>
    </row>
    <row r="119" spans="1:9" x14ac:dyDescent="0.3">
      <c r="A119" t="s">
        <v>68</v>
      </c>
      <c r="B119" s="1">
        <v>0.05</v>
      </c>
      <c r="C119" s="1">
        <v>0.05</v>
      </c>
      <c r="D119" s="1">
        <v>0.05</v>
      </c>
      <c r="E119" s="1">
        <v>0.05</v>
      </c>
      <c r="F119" s="1">
        <v>0.05</v>
      </c>
      <c r="G119" s="1">
        <v>0.05</v>
      </c>
      <c r="H119" s="1">
        <v>0.05</v>
      </c>
      <c r="I119" s="1">
        <v>0.08</v>
      </c>
    </row>
    <row r="120" spans="1:9" x14ac:dyDescent="0.3">
      <c r="A120" t="s">
        <v>134</v>
      </c>
      <c r="B120" s="1">
        <v>0.3</v>
      </c>
      <c r="C120" s="1">
        <v>0.3</v>
      </c>
      <c r="D120" s="1">
        <v>0.3</v>
      </c>
      <c r="E120" s="1">
        <v>0.3</v>
      </c>
      <c r="F120" s="1">
        <v>0.42</v>
      </c>
      <c r="G120" s="1">
        <v>0.3</v>
      </c>
      <c r="H120" s="1">
        <v>0.42</v>
      </c>
      <c r="I120" s="1">
        <v>0.7</v>
      </c>
    </row>
    <row r="121" spans="1:9" x14ac:dyDescent="0.3">
      <c r="A121" t="s">
        <v>26</v>
      </c>
      <c r="B121" s="1">
        <v>0.3</v>
      </c>
      <c r="C121" s="1">
        <v>0.3</v>
      </c>
      <c r="D121" s="1">
        <v>0.3</v>
      </c>
      <c r="E121" s="1">
        <v>0.3</v>
      </c>
      <c r="F121" s="1">
        <v>0.13</v>
      </c>
      <c r="G121" s="1">
        <v>0.13</v>
      </c>
      <c r="H121" s="1">
        <v>0.13</v>
      </c>
      <c r="I121" s="1">
        <v>0.13</v>
      </c>
    </row>
    <row r="122" spans="1:9" x14ac:dyDescent="0.3">
      <c r="A122" t="s">
        <v>58</v>
      </c>
      <c r="B122" s="1">
        <v>0.14000000000000001</v>
      </c>
      <c r="C122" s="1">
        <v>0.22</v>
      </c>
      <c r="D122" s="1">
        <v>0.8</v>
      </c>
      <c r="E122" s="1">
        <f>MEDIAN(B122:D122)</f>
        <v>0.22</v>
      </c>
      <c r="F122" s="1">
        <v>0.3</v>
      </c>
      <c r="G122" s="1">
        <v>0.3</v>
      </c>
      <c r="H122" s="1">
        <v>0.3</v>
      </c>
      <c r="I122" s="1">
        <v>0.3</v>
      </c>
    </row>
    <row r="123" spans="1:9" x14ac:dyDescent="0.3">
      <c r="A123" t="s">
        <v>87</v>
      </c>
      <c r="B123" s="1">
        <v>1.3049999999999999</v>
      </c>
      <c r="C123" s="1">
        <v>2.21</v>
      </c>
      <c r="D123" s="1">
        <f>MEDIAN(C123,E123)</f>
        <v>1.3050000000000002</v>
      </c>
      <c r="E123" s="1">
        <v>0.4</v>
      </c>
      <c r="F123" s="1">
        <v>0.4</v>
      </c>
      <c r="G123" s="1">
        <v>0.4</v>
      </c>
      <c r="H123" s="1">
        <v>0.4</v>
      </c>
      <c r="I123" s="1">
        <v>0.4</v>
      </c>
    </row>
    <row r="124" spans="1:9" x14ac:dyDescent="0.3">
      <c r="A124" t="s">
        <v>149</v>
      </c>
      <c r="B124" s="1">
        <v>0.19</v>
      </c>
      <c r="C124" s="1">
        <v>0.19</v>
      </c>
      <c r="D124" s="1">
        <v>0.19</v>
      </c>
      <c r="E124" s="1">
        <v>0.19</v>
      </c>
      <c r="F124" s="1">
        <v>0.28999999999999998</v>
      </c>
      <c r="G124" s="1">
        <v>0.28999999999999998</v>
      </c>
      <c r="H124" s="1">
        <v>0.28999999999999998</v>
      </c>
      <c r="I124" s="1">
        <v>0.28999999999999998</v>
      </c>
    </row>
    <row r="125" spans="1:9" x14ac:dyDescent="0.3">
      <c r="A125" t="s">
        <v>121</v>
      </c>
      <c r="B125" s="1">
        <f>MEDIAN(C125:E125)</f>
        <v>0.44</v>
      </c>
      <c r="C125" s="1">
        <v>0.44</v>
      </c>
      <c r="D125" s="1">
        <v>0.57999999999999996</v>
      </c>
      <c r="E125" s="1">
        <v>0.2</v>
      </c>
      <c r="F125" s="1">
        <v>0.44</v>
      </c>
      <c r="G125" s="1">
        <v>0.44</v>
      </c>
      <c r="H125" s="1">
        <v>0.44</v>
      </c>
      <c r="I125" s="1">
        <v>0.44</v>
      </c>
    </row>
    <row r="126" spans="1:9" x14ac:dyDescent="0.3">
      <c r="A126" t="s">
        <v>153</v>
      </c>
      <c r="B126" s="1">
        <v>0.05</v>
      </c>
      <c r="C126" s="1">
        <v>0.05</v>
      </c>
      <c r="D126" s="1">
        <v>0.05</v>
      </c>
      <c r="E126" s="1">
        <v>0.05</v>
      </c>
      <c r="F126" s="1">
        <v>0.11</v>
      </c>
      <c r="G126" s="1">
        <v>0.11</v>
      </c>
      <c r="H126" s="1">
        <v>0.11</v>
      </c>
      <c r="I126" s="1">
        <v>0.11</v>
      </c>
    </row>
    <row r="127" spans="1:9" x14ac:dyDescent="0.3">
      <c r="A127" t="s">
        <v>66</v>
      </c>
      <c r="B127" s="1">
        <v>0.14000000000000001</v>
      </c>
      <c r="C127" s="1">
        <v>0.14000000000000001</v>
      </c>
      <c r="D127" s="1">
        <v>0.14000000000000001</v>
      </c>
      <c r="E127" s="1">
        <v>0.14000000000000001</v>
      </c>
      <c r="F127" s="1">
        <v>0.6</v>
      </c>
      <c r="G127" s="1">
        <v>0.6</v>
      </c>
      <c r="H127" s="1">
        <v>0.6</v>
      </c>
      <c r="I127" s="1">
        <v>0.6</v>
      </c>
    </row>
    <row r="128" spans="1:9" x14ac:dyDescent="0.3">
      <c r="A128" t="s">
        <v>103</v>
      </c>
      <c r="B128" s="1">
        <v>0.82</v>
      </c>
      <c r="C128" s="1">
        <v>0.82</v>
      </c>
      <c r="D128" s="1">
        <v>0.82</v>
      </c>
      <c r="E128" s="1">
        <v>0.82</v>
      </c>
      <c r="F128" s="1">
        <v>1.895</v>
      </c>
      <c r="G128" s="1">
        <f>MEDIAN(H128:I128)</f>
        <v>1.895</v>
      </c>
      <c r="H128" s="1">
        <v>2.33</v>
      </c>
      <c r="I128" s="1">
        <v>1.46</v>
      </c>
    </row>
    <row r="129" spans="1:9" x14ac:dyDescent="0.3">
      <c r="A129" t="s">
        <v>90</v>
      </c>
      <c r="B129" s="1">
        <v>0.84</v>
      </c>
      <c r="C129" s="1">
        <v>0.84</v>
      </c>
      <c r="D129" s="1">
        <v>0.84</v>
      </c>
      <c r="E129" s="1">
        <v>0.84</v>
      </c>
      <c r="F129" s="1">
        <v>1.25</v>
      </c>
      <c r="G129" s="1">
        <v>1.25</v>
      </c>
      <c r="H129" s="1">
        <v>1.25</v>
      </c>
      <c r="I129" s="1">
        <v>1.25</v>
      </c>
    </row>
    <row r="130" spans="1:9" x14ac:dyDescent="0.3">
      <c r="A130" t="s">
        <v>108</v>
      </c>
      <c r="B130" s="1">
        <v>0.35</v>
      </c>
      <c r="C130" s="1">
        <v>0.35</v>
      </c>
      <c r="D130" s="1">
        <v>0.35</v>
      </c>
      <c r="E130" s="1">
        <v>0.35</v>
      </c>
      <c r="F130" s="1">
        <v>0.43</v>
      </c>
      <c r="G130" s="1">
        <v>0.43</v>
      </c>
      <c r="H130" s="1">
        <v>0.43</v>
      </c>
      <c r="I130" s="1">
        <v>0.52</v>
      </c>
    </row>
    <row r="131" spans="1:9" x14ac:dyDescent="0.3">
      <c r="A131" t="s">
        <v>94</v>
      </c>
      <c r="B131" s="1">
        <v>0.32</v>
      </c>
      <c r="C131" s="1">
        <v>0.32</v>
      </c>
      <c r="D131" s="1">
        <v>0.32</v>
      </c>
      <c r="E131" s="1">
        <v>0.32</v>
      </c>
      <c r="F131" s="1">
        <v>0.2</v>
      </c>
      <c r="G131" s="1">
        <v>0.2</v>
      </c>
      <c r="H131" s="1">
        <v>0.2</v>
      </c>
      <c r="I131" s="1">
        <v>0.2</v>
      </c>
    </row>
    <row r="132" spans="1:9" x14ac:dyDescent="0.3">
      <c r="A132" t="s">
        <v>101</v>
      </c>
      <c r="B132" s="1">
        <v>0.75</v>
      </c>
      <c r="C132" s="1">
        <v>0.75</v>
      </c>
      <c r="D132" s="1">
        <v>0.75</v>
      </c>
      <c r="E132" s="1">
        <v>0.75</v>
      </c>
      <c r="F132" s="1">
        <v>0.21</v>
      </c>
      <c r="G132" s="1">
        <v>0.21</v>
      </c>
      <c r="H132" s="1">
        <v>0.21</v>
      </c>
      <c r="I132" s="1">
        <v>0.21</v>
      </c>
    </row>
    <row r="133" spans="1:9" x14ac:dyDescent="0.3">
      <c r="A133" t="s">
        <v>119</v>
      </c>
      <c r="B133" s="1">
        <v>0.315</v>
      </c>
      <c r="C133" s="1">
        <v>0.43</v>
      </c>
      <c r="D133" s="1">
        <v>0.2</v>
      </c>
      <c r="E133" s="1">
        <f>MEDIAN(C133:D133)</f>
        <v>0.315</v>
      </c>
      <c r="F133" s="1">
        <v>0.2</v>
      </c>
      <c r="G133" s="1">
        <v>0.2</v>
      </c>
      <c r="H133" s="1">
        <v>0.2</v>
      </c>
      <c r="I133" s="1">
        <v>0.2</v>
      </c>
    </row>
    <row r="134" spans="1:9" x14ac:dyDescent="0.3">
      <c r="A134" t="s">
        <v>137</v>
      </c>
      <c r="B134" s="1">
        <v>2.88</v>
      </c>
      <c r="C134" s="1">
        <v>2.88</v>
      </c>
      <c r="D134" s="1">
        <v>2.88</v>
      </c>
      <c r="E134" s="1">
        <v>2.88</v>
      </c>
      <c r="F134" s="1">
        <v>5.67</v>
      </c>
      <c r="G134" s="1">
        <v>5.67</v>
      </c>
      <c r="H134" s="1">
        <v>5.67</v>
      </c>
      <c r="I134" s="1">
        <v>5.67</v>
      </c>
    </row>
    <row r="135" spans="1:9" x14ac:dyDescent="0.3">
      <c r="A135" t="s">
        <v>56</v>
      </c>
      <c r="B135" s="1">
        <v>0.28000000000000003</v>
      </c>
      <c r="C135" s="1">
        <v>0.28000000000000003</v>
      </c>
      <c r="D135" s="1">
        <v>0.28000000000000003</v>
      </c>
      <c r="E135" s="1">
        <v>0.28000000000000003</v>
      </c>
      <c r="F135" s="1">
        <v>0.85499999999999998</v>
      </c>
      <c r="G135" s="1">
        <f>MEDIAN(H135:I135)</f>
        <v>0.85499999999999998</v>
      </c>
      <c r="H135" s="1">
        <v>0.63</v>
      </c>
      <c r="I135" s="1">
        <v>1.08</v>
      </c>
    </row>
    <row r="136" spans="1:9" x14ac:dyDescent="0.3">
      <c r="A136" t="s">
        <v>83</v>
      </c>
      <c r="B136" s="1">
        <v>0.2</v>
      </c>
      <c r="C136" s="1">
        <v>0.2</v>
      </c>
      <c r="D136" s="1">
        <v>0.2</v>
      </c>
      <c r="E136" s="1">
        <v>0.2</v>
      </c>
      <c r="F136" s="1">
        <v>0.45</v>
      </c>
      <c r="G136" s="1">
        <v>0.45</v>
      </c>
      <c r="H136" s="1">
        <v>0.45</v>
      </c>
      <c r="I136" s="1">
        <v>0.45</v>
      </c>
    </row>
    <row r="137" spans="1:9" x14ac:dyDescent="0.3">
      <c r="A137" t="s">
        <v>151</v>
      </c>
      <c r="B137" s="1">
        <v>0.11</v>
      </c>
      <c r="C137" s="1">
        <v>0.11</v>
      </c>
      <c r="D137" s="1">
        <v>0.11</v>
      </c>
      <c r="E137" s="1">
        <v>0.11</v>
      </c>
      <c r="F137" s="1">
        <v>0.16</v>
      </c>
      <c r="G137" s="1">
        <v>0.16</v>
      </c>
      <c r="H137" s="1">
        <v>0.16</v>
      </c>
      <c r="I137" s="1">
        <v>0.16</v>
      </c>
    </row>
    <row r="138" spans="1:9" x14ac:dyDescent="0.3">
      <c r="A138" t="s">
        <v>91</v>
      </c>
      <c r="B138" s="1">
        <v>0.45</v>
      </c>
      <c r="C138" s="1">
        <v>0.45</v>
      </c>
      <c r="D138" s="1">
        <v>0.45</v>
      </c>
      <c r="E138" s="1">
        <v>0.45</v>
      </c>
      <c r="F138" s="1">
        <v>0.34</v>
      </c>
      <c r="G138" s="1">
        <v>0.34</v>
      </c>
      <c r="H138" s="1">
        <v>0.34</v>
      </c>
      <c r="I138" s="1">
        <v>0.34</v>
      </c>
    </row>
    <row r="139" spans="1:9" x14ac:dyDescent="0.3">
      <c r="A139" t="s">
        <v>128</v>
      </c>
      <c r="B139" s="1">
        <v>2.395</v>
      </c>
      <c r="C139" s="1">
        <v>0.89</v>
      </c>
      <c r="D139" s="1">
        <f>MEDIAN(C139,E139)</f>
        <v>2.395</v>
      </c>
      <c r="E139" s="1">
        <v>3.9</v>
      </c>
      <c r="F139" s="1">
        <v>2.04</v>
      </c>
      <c r="G139" s="1">
        <v>2.04</v>
      </c>
      <c r="H139" s="1">
        <v>2.04</v>
      </c>
      <c r="I139" s="1">
        <v>2.04</v>
      </c>
    </row>
    <row r="140" spans="1:9" x14ac:dyDescent="0.3">
      <c r="A140" t="s">
        <v>32</v>
      </c>
      <c r="B140" s="1">
        <v>2.88</v>
      </c>
      <c r="C140" s="1">
        <v>4.09</v>
      </c>
      <c r="D140" s="1">
        <f>MEDIAN(B140:C140)</f>
        <v>3.4849999999999999</v>
      </c>
      <c r="E140" s="1">
        <v>3.4849999999999999</v>
      </c>
      <c r="F140" s="1">
        <v>0.72</v>
      </c>
      <c r="G140" s="1">
        <v>0.72</v>
      </c>
      <c r="H140" s="1">
        <v>0.72</v>
      </c>
      <c r="I140" s="1">
        <v>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8031-F91F-4925-93CB-F0B27C6DE1B5}">
  <dimension ref="A1:I142"/>
  <sheetViews>
    <sheetView zoomScale="120" zoomScaleNormal="120" workbookViewId="0">
      <pane ySplit="1" topLeftCell="A122" activePane="bottomLeft" state="frozen"/>
      <selection pane="bottomLeft" activeCell="A2" sqref="A2:A142"/>
    </sheetView>
  </sheetViews>
  <sheetFormatPr baseColWidth="10" defaultColWidth="11.44140625" defaultRowHeight="14.4" x14ac:dyDescent="0.3"/>
  <cols>
    <col min="1" max="1" width="18.6640625" customWidth="1"/>
    <col min="2" max="5" width="18.6640625" style="2" customWidth="1"/>
    <col min="6" max="9" width="18.6640625" style="1" customWidth="1"/>
  </cols>
  <sheetData>
    <row r="1" spans="1:9" x14ac:dyDescent="0.3">
      <c r="A1" t="s">
        <v>0</v>
      </c>
      <c r="B1" s="2" t="s">
        <v>173</v>
      </c>
      <c r="C1" s="2" t="s">
        <v>174</v>
      </c>
      <c r="D1" s="2" t="s">
        <v>175</v>
      </c>
      <c r="E1" s="2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 spans="1:9" x14ac:dyDescent="0.3">
      <c r="A2" t="s">
        <v>9</v>
      </c>
      <c r="B2" s="2">
        <v>27.08</v>
      </c>
      <c r="C2" s="2">
        <f>MEDIAN(B2,D2:E2)</f>
        <v>14.31</v>
      </c>
      <c r="D2" s="2">
        <v>14.31</v>
      </c>
      <c r="E2" s="2">
        <v>11.02</v>
      </c>
      <c r="F2" s="1">
        <v>7.35</v>
      </c>
      <c r="G2" s="1">
        <v>8.43</v>
      </c>
      <c r="H2" s="1">
        <v>12.56</v>
      </c>
      <c r="I2" s="1">
        <v>6.4</v>
      </c>
    </row>
    <row r="3" spans="1:9" x14ac:dyDescent="0.3">
      <c r="A3" t="s">
        <v>10</v>
      </c>
      <c r="B3" s="2">
        <v>0.53</v>
      </c>
      <c r="C3" s="2">
        <v>0.03</v>
      </c>
      <c r="D3" s="2">
        <v>0.1</v>
      </c>
      <c r="E3" s="2">
        <v>0.1</v>
      </c>
      <c r="F3" s="1">
        <v>7.0000000000000007E-2</v>
      </c>
      <c r="G3" s="1">
        <v>0.03</v>
      </c>
      <c r="H3" s="1">
        <v>0.15</v>
      </c>
      <c r="I3" s="1">
        <v>0.28999999999999998</v>
      </c>
    </row>
    <row r="4" spans="1:9" x14ac:dyDescent="0.3">
      <c r="A4" t="s">
        <v>11</v>
      </c>
      <c r="B4" s="2">
        <v>8.48</v>
      </c>
      <c r="C4" s="2">
        <v>2.08</v>
      </c>
      <c r="D4" s="2">
        <v>4.4000000000000004</v>
      </c>
      <c r="E4" s="2">
        <v>3.69</v>
      </c>
      <c r="F4" s="1">
        <v>5.22</v>
      </c>
      <c r="G4" s="1">
        <v>5.22</v>
      </c>
      <c r="H4" s="1">
        <v>4.4000000000000004</v>
      </c>
      <c r="I4" s="1">
        <v>3.69</v>
      </c>
    </row>
    <row r="5" spans="1:9" x14ac:dyDescent="0.3">
      <c r="A5" t="s">
        <v>12</v>
      </c>
      <c r="B5" s="2">
        <v>1.58</v>
      </c>
      <c r="C5" s="2">
        <v>0.79</v>
      </c>
      <c r="D5" s="2">
        <v>1.0900000000000001</v>
      </c>
      <c r="E5" s="2">
        <v>0.98</v>
      </c>
      <c r="F5" s="1">
        <v>0.69</v>
      </c>
      <c r="G5" s="1">
        <v>0.3</v>
      </c>
      <c r="H5" s="1">
        <f>MEDIAN(F5:G5)</f>
        <v>0.495</v>
      </c>
      <c r="I5" s="1">
        <f>MEDIAN(G5:H5)</f>
        <v>0.39749999999999996</v>
      </c>
    </row>
    <row r="6" spans="1:9" x14ac:dyDescent="0.3">
      <c r="A6" t="s">
        <v>13</v>
      </c>
      <c r="B6" s="2">
        <v>1.53</v>
      </c>
      <c r="C6" s="2">
        <v>1.21</v>
      </c>
      <c r="D6" s="2">
        <v>0.7</v>
      </c>
      <c r="E6" s="2">
        <v>1.21</v>
      </c>
      <c r="F6" s="1">
        <v>0.7</v>
      </c>
      <c r="G6" s="1">
        <v>0.7</v>
      </c>
      <c r="H6" s="1">
        <v>0.94</v>
      </c>
      <c r="I6" s="1">
        <v>0.7</v>
      </c>
    </row>
    <row r="7" spans="1:9" x14ac:dyDescent="0.3">
      <c r="A7" t="s">
        <v>14</v>
      </c>
      <c r="B7" s="2">
        <v>2.75</v>
      </c>
      <c r="C7" s="2">
        <v>0.74</v>
      </c>
      <c r="D7" s="2">
        <v>0.74</v>
      </c>
      <c r="E7" s="2">
        <v>0.25</v>
      </c>
      <c r="F7" s="1">
        <v>0.25</v>
      </c>
      <c r="G7" s="1">
        <v>0.74</v>
      </c>
      <c r="H7" s="1">
        <v>0.74</v>
      </c>
      <c r="I7" s="1">
        <v>0.74</v>
      </c>
    </row>
    <row r="8" spans="1:9" x14ac:dyDescent="0.3">
      <c r="A8" t="s">
        <v>15</v>
      </c>
      <c r="B8" s="2">
        <v>1.59</v>
      </c>
      <c r="C8" s="2">
        <v>0.92</v>
      </c>
      <c r="D8" s="2">
        <v>1.47</v>
      </c>
      <c r="E8" s="2">
        <v>1.35</v>
      </c>
      <c r="F8" s="1">
        <v>2.87</v>
      </c>
      <c r="G8" s="1">
        <v>0.83</v>
      </c>
      <c r="H8" s="1">
        <v>0.74</v>
      </c>
      <c r="I8" s="1">
        <v>1.59</v>
      </c>
    </row>
    <row r="9" spans="1:9" x14ac:dyDescent="0.3">
      <c r="A9" t="s">
        <v>16</v>
      </c>
      <c r="B9" s="2">
        <v>27.82</v>
      </c>
      <c r="C9" s="2">
        <v>9.25</v>
      </c>
      <c r="D9" s="2">
        <f>MEDIAN(B9:C9,E9)</f>
        <v>27.82</v>
      </c>
      <c r="E9" s="2">
        <v>27.82</v>
      </c>
      <c r="F9" s="1">
        <v>9.25</v>
      </c>
      <c r="G9" s="1">
        <v>134.97</v>
      </c>
      <c r="H9" s="1">
        <v>1.81</v>
      </c>
      <c r="I9" s="1">
        <v>12.27</v>
      </c>
    </row>
    <row r="10" spans="1:9" x14ac:dyDescent="0.3">
      <c r="A10" t="s">
        <v>17</v>
      </c>
      <c r="B10" s="2">
        <v>1.4</v>
      </c>
      <c r="C10" s="2">
        <v>0.75</v>
      </c>
      <c r="D10" s="2">
        <v>1.05</v>
      </c>
      <c r="E10" s="2">
        <v>0.75</v>
      </c>
      <c r="F10" s="1">
        <v>0.89</v>
      </c>
      <c r="G10" s="1">
        <v>0.89</v>
      </c>
      <c r="H10" s="1">
        <v>0.89</v>
      </c>
      <c r="I10" s="1">
        <v>0.61</v>
      </c>
    </row>
    <row r="11" spans="1:9" x14ac:dyDescent="0.3">
      <c r="A11" t="s">
        <v>18</v>
      </c>
      <c r="B11" s="2">
        <v>0.96</v>
      </c>
      <c r="C11" s="2">
        <v>0.69</v>
      </c>
      <c r="D11" s="2">
        <v>0.25</v>
      </c>
      <c r="E11" s="2">
        <v>0.35</v>
      </c>
      <c r="F11" s="1">
        <v>0.35</v>
      </c>
      <c r="G11" s="1">
        <v>0.45</v>
      </c>
      <c r="H11" s="1">
        <v>0.82</v>
      </c>
      <c r="I11" s="1">
        <v>0.82</v>
      </c>
    </row>
    <row r="12" spans="1:9" x14ac:dyDescent="0.3">
      <c r="A12" t="s">
        <v>19</v>
      </c>
      <c r="B12" s="2">
        <v>0.27</v>
      </c>
      <c r="C12" s="2">
        <v>0.05</v>
      </c>
      <c r="D12" s="2">
        <v>0.11</v>
      </c>
      <c r="E12" s="2">
        <f>MEDIAN(B12:D12)</f>
        <v>0.11</v>
      </c>
      <c r="F12" s="1">
        <v>0.17</v>
      </c>
      <c r="G12" s="1">
        <v>0.08</v>
      </c>
      <c r="H12" s="1">
        <f>MEDIAN(F12:G12,I12)</f>
        <v>0.17</v>
      </c>
      <c r="I12" s="1">
        <v>0.2</v>
      </c>
    </row>
    <row r="13" spans="1:9" x14ac:dyDescent="0.3">
      <c r="A13" t="s">
        <v>20</v>
      </c>
      <c r="B13" s="2">
        <v>3.32</v>
      </c>
      <c r="C13" s="2">
        <v>5.23</v>
      </c>
      <c r="D13" s="2">
        <v>7.97</v>
      </c>
      <c r="E13" s="2">
        <v>7.97</v>
      </c>
      <c r="F13" s="1">
        <v>7.97</v>
      </c>
      <c r="G13" s="1">
        <v>5.23</v>
      </c>
      <c r="H13" s="1">
        <v>7.97</v>
      </c>
      <c r="I13" s="1">
        <v>11.94</v>
      </c>
    </row>
    <row r="14" spans="1:9" x14ac:dyDescent="0.3">
      <c r="A14" t="s">
        <v>21</v>
      </c>
      <c r="B14" s="2">
        <v>0.12</v>
      </c>
      <c r="C14" s="2">
        <v>0.06</v>
      </c>
      <c r="D14" s="2">
        <v>0.25</v>
      </c>
      <c r="E14" s="2">
        <v>0.35</v>
      </c>
      <c r="F14" s="1">
        <v>0.16</v>
      </c>
      <c r="G14" s="1">
        <v>0.25</v>
      </c>
      <c r="H14" s="1">
        <v>0.12</v>
      </c>
      <c r="I14" s="1">
        <v>0.3</v>
      </c>
    </row>
    <row r="15" spans="1:9" x14ac:dyDescent="0.3">
      <c r="A15" t="s">
        <v>22</v>
      </c>
      <c r="B15" s="2">
        <v>1.1399999999999999</v>
      </c>
      <c r="C15" s="2">
        <v>0.33</v>
      </c>
      <c r="D15" s="2">
        <v>1.1399999999999999</v>
      </c>
      <c r="E15" s="2">
        <f>MEDIAN(B15:D15)</f>
        <v>1.1399999999999999</v>
      </c>
      <c r="F15" s="1">
        <v>0.61</v>
      </c>
      <c r="G15" s="1">
        <v>0.61</v>
      </c>
      <c r="H15" s="1">
        <v>0.61</v>
      </c>
      <c r="I15" s="1">
        <v>0.61</v>
      </c>
    </row>
    <row r="16" spans="1:9" x14ac:dyDescent="0.3">
      <c r="A16" t="s">
        <v>23</v>
      </c>
      <c r="B16" s="2">
        <v>0.87</v>
      </c>
      <c r="C16" s="2">
        <v>1.1499999999999999</v>
      </c>
      <c r="D16" s="2">
        <v>0.87</v>
      </c>
      <c r="E16" s="2">
        <v>0.74</v>
      </c>
      <c r="F16" s="1">
        <v>0.87</v>
      </c>
      <c r="G16" s="1">
        <v>0.41</v>
      </c>
      <c r="H16" s="1">
        <v>1.1499999999999999</v>
      </c>
      <c r="I16" s="1">
        <v>1</v>
      </c>
    </row>
    <row r="17" spans="1:9" x14ac:dyDescent="0.3">
      <c r="A17" t="s">
        <v>24</v>
      </c>
      <c r="B17" s="2">
        <v>0.65</v>
      </c>
      <c r="C17" s="2">
        <v>0.65</v>
      </c>
      <c r="D17" s="2">
        <v>0.65</v>
      </c>
      <c r="E17" s="2">
        <v>0.65</v>
      </c>
      <c r="F17" s="1">
        <v>0.46</v>
      </c>
      <c r="G17" s="1">
        <v>0.46</v>
      </c>
      <c r="H17" s="1">
        <v>0.46</v>
      </c>
      <c r="I17" s="1">
        <v>0.46</v>
      </c>
    </row>
    <row r="18" spans="1:9" x14ac:dyDescent="0.3">
      <c r="A18" t="s">
        <v>25</v>
      </c>
      <c r="B18" s="2">
        <v>0.33</v>
      </c>
      <c r="C18" s="2">
        <v>0.33</v>
      </c>
      <c r="D18" s="2">
        <v>0.33</v>
      </c>
      <c r="E18" s="2">
        <v>0.33</v>
      </c>
      <c r="F18" s="1">
        <v>0.24</v>
      </c>
      <c r="G18" s="1">
        <v>0.24</v>
      </c>
      <c r="H18" s="1">
        <v>0.24</v>
      </c>
      <c r="I18" s="1">
        <v>0.24</v>
      </c>
    </row>
    <row r="19" spans="1:9" x14ac:dyDescent="0.3">
      <c r="A19" t="s">
        <v>26</v>
      </c>
      <c r="B19" s="2">
        <v>0.3</v>
      </c>
      <c r="C19" s="2">
        <v>0.3</v>
      </c>
      <c r="D19" s="2">
        <v>0.3</v>
      </c>
      <c r="E19" s="2">
        <v>0.3</v>
      </c>
      <c r="F19" s="1">
        <v>0.13</v>
      </c>
      <c r="G19" s="1">
        <v>0.13</v>
      </c>
      <c r="H19" s="1">
        <v>0.13</v>
      </c>
      <c r="I19" s="1">
        <v>0.13</v>
      </c>
    </row>
    <row r="20" spans="1:9" x14ac:dyDescent="0.3">
      <c r="A20" t="s">
        <v>27</v>
      </c>
      <c r="B20" s="2">
        <v>0.44</v>
      </c>
      <c r="C20" s="2">
        <v>0.73</v>
      </c>
      <c r="D20" s="2">
        <v>0.9</v>
      </c>
      <c r="E20" s="2">
        <v>0.73</v>
      </c>
      <c r="F20" s="1">
        <v>0.57999999999999996</v>
      </c>
      <c r="G20" s="1">
        <v>0.44</v>
      </c>
      <c r="H20" s="1">
        <v>0.9</v>
      </c>
      <c r="I20" s="1">
        <v>0.57999999999999996</v>
      </c>
    </row>
    <row r="21" spans="1:9" x14ac:dyDescent="0.3">
      <c r="A21" t="s">
        <v>28</v>
      </c>
      <c r="B21" s="2">
        <v>0.14000000000000001</v>
      </c>
      <c r="C21" s="2">
        <f>MEDIAN(B21,D21:E21)</f>
        <v>0.14000000000000001</v>
      </c>
      <c r="D21" s="2">
        <v>0.14000000000000001</v>
      </c>
      <c r="E21" s="2">
        <v>0.14000000000000001</v>
      </c>
      <c r="F21" s="1">
        <v>0.3</v>
      </c>
      <c r="G21" s="1">
        <f>MEDIAN(H21:I21,F21)</f>
        <v>0.3</v>
      </c>
      <c r="H21" s="1">
        <v>0.3</v>
      </c>
      <c r="I21" s="1">
        <v>0.39</v>
      </c>
    </row>
    <row r="22" spans="1:9" x14ac:dyDescent="0.3">
      <c r="A22" t="s">
        <v>30</v>
      </c>
      <c r="B22" s="2">
        <v>0.56000000000000005</v>
      </c>
      <c r="C22" s="2">
        <v>0.56000000000000005</v>
      </c>
      <c r="D22" s="2">
        <v>0.16</v>
      </c>
      <c r="E22" s="2">
        <v>0.16</v>
      </c>
      <c r="F22" s="1">
        <v>0.45</v>
      </c>
      <c r="G22" s="1">
        <f>MEDIAN(H22:I22,F22)</f>
        <v>0.56000000000000005</v>
      </c>
      <c r="H22" s="1">
        <v>0.81</v>
      </c>
      <c r="I22" s="1">
        <v>0.56000000000000005</v>
      </c>
    </row>
    <row r="23" spans="1:9" x14ac:dyDescent="0.3">
      <c r="A23" t="s">
        <v>31</v>
      </c>
      <c r="B23" s="2">
        <v>0.53</v>
      </c>
      <c r="C23" s="2">
        <v>0.38</v>
      </c>
      <c r="D23" s="2">
        <v>0.53</v>
      </c>
      <c r="E23" s="2">
        <v>0.38</v>
      </c>
      <c r="F23" s="1">
        <v>0.38</v>
      </c>
      <c r="G23" s="1">
        <v>0.38</v>
      </c>
      <c r="H23" s="1">
        <v>0.38</v>
      </c>
      <c r="I23" s="1">
        <v>0.38</v>
      </c>
    </row>
    <row r="24" spans="1:9" x14ac:dyDescent="0.3">
      <c r="A24" t="s">
        <v>32</v>
      </c>
      <c r="B24" s="2">
        <v>2.88</v>
      </c>
      <c r="C24" s="2">
        <v>2.88</v>
      </c>
      <c r="D24" s="2">
        <v>2.88</v>
      </c>
      <c r="E24" s="2">
        <v>2.88</v>
      </c>
      <c r="F24" s="1">
        <v>4.09</v>
      </c>
      <c r="G24" s="1">
        <f>MEDIAN(F24,I24)</f>
        <v>2.4050000000000002</v>
      </c>
      <c r="H24" s="1">
        <v>2.4049999999999998</v>
      </c>
      <c r="I24" s="1">
        <v>0.72</v>
      </c>
    </row>
    <row r="25" spans="1:9" x14ac:dyDescent="0.3">
      <c r="A25" t="s">
        <v>33</v>
      </c>
      <c r="B25" s="2">
        <v>2.72</v>
      </c>
      <c r="C25" s="2">
        <v>8.98</v>
      </c>
      <c r="D25" s="2">
        <v>2.72</v>
      </c>
      <c r="E25" s="2">
        <f>MEDIAN(B25:D25)</f>
        <v>2.72</v>
      </c>
      <c r="F25" s="1">
        <v>2.72</v>
      </c>
      <c r="G25" s="1">
        <v>2.72</v>
      </c>
      <c r="H25" s="1">
        <v>2.72</v>
      </c>
      <c r="I25" s="1">
        <v>2.72</v>
      </c>
    </row>
    <row r="26" spans="1:9" x14ac:dyDescent="0.3">
      <c r="A26" t="s">
        <v>34</v>
      </c>
      <c r="B26" s="2">
        <v>0.54</v>
      </c>
      <c r="C26" s="2">
        <v>0.68</v>
      </c>
      <c r="D26" s="2">
        <v>0.83</v>
      </c>
      <c r="E26" s="2">
        <v>0.41</v>
      </c>
      <c r="F26" s="1">
        <v>0.68</v>
      </c>
      <c r="G26" s="1">
        <v>0.54</v>
      </c>
      <c r="H26" s="1">
        <v>0.41</v>
      </c>
      <c r="I26" s="1">
        <v>0.54</v>
      </c>
    </row>
    <row r="27" spans="1:9" x14ac:dyDescent="0.3">
      <c r="A27" t="s">
        <v>35</v>
      </c>
      <c r="B27" s="2">
        <v>0.32</v>
      </c>
      <c r="C27" s="2">
        <v>0.32</v>
      </c>
      <c r="D27" s="2">
        <v>0.32</v>
      </c>
      <c r="E27" s="2">
        <v>0.32</v>
      </c>
      <c r="F27" s="1">
        <v>0.52</v>
      </c>
      <c r="G27" s="1">
        <v>0.32</v>
      </c>
      <c r="H27" s="1">
        <f>MEDIAN(F27:G27,I27)</f>
        <v>0.32</v>
      </c>
      <c r="I27" s="1">
        <v>0.32</v>
      </c>
    </row>
    <row r="28" spans="1:9" x14ac:dyDescent="0.3">
      <c r="A28" t="s">
        <v>36</v>
      </c>
      <c r="B28" s="2">
        <v>0.12</v>
      </c>
      <c r="C28" s="2">
        <v>0.19</v>
      </c>
      <c r="D28" s="2">
        <f>MEDIAN(B28:C28,E28)</f>
        <v>0.12</v>
      </c>
      <c r="E28" s="2">
        <v>0.09</v>
      </c>
      <c r="F28" s="1">
        <f>MEDIAN(G28:I28)</f>
        <v>0.22</v>
      </c>
      <c r="G28" s="1">
        <v>0.06</v>
      </c>
      <c r="H28" s="1">
        <v>0.26</v>
      </c>
      <c r="I28" s="1">
        <v>0.22</v>
      </c>
    </row>
    <row r="29" spans="1:9" x14ac:dyDescent="0.3">
      <c r="A29" t="s">
        <v>37</v>
      </c>
      <c r="B29" s="2">
        <v>0.22</v>
      </c>
      <c r="C29" s="2">
        <v>0.22</v>
      </c>
      <c r="D29" s="2">
        <v>0.22</v>
      </c>
      <c r="E29" s="2">
        <v>0.22</v>
      </c>
      <c r="F29" s="1">
        <v>0.34</v>
      </c>
      <c r="G29" s="1">
        <v>0.34</v>
      </c>
      <c r="H29" s="1">
        <v>0.34</v>
      </c>
      <c r="I29" s="1">
        <v>0.34</v>
      </c>
    </row>
    <row r="30" spans="1:9" x14ac:dyDescent="0.3">
      <c r="A30" t="s">
        <v>38</v>
      </c>
      <c r="B30" s="2">
        <v>0.47</v>
      </c>
      <c r="C30" s="2">
        <f>MEDIAN(B30,D30:E30)</f>
        <v>1.6</v>
      </c>
      <c r="D30" s="2">
        <v>1.6</v>
      </c>
      <c r="E30" s="2">
        <v>2.81</v>
      </c>
      <c r="F30" s="1">
        <f>MEDIAN(G30,I30)</f>
        <v>0.96</v>
      </c>
      <c r="G30" s="1">
        <v>1.1499999999999999</v>
      </c>
      <c r="H30" s="1">
        <v>0.96</v>
      </c>
      <c r="I30" s="1">
        <v>0.77</v>
      </c>
    </row>
    <row r="31" spans="1:9" x14ac:dyDescent="0.3">
      <c r="A31" t="s">
        <v>39</v>
      </c>
      <c r="B31" s="2">
        <v>0.13</v>
      </c>
      <c r="C31" s="2">
        <f t="shared" ref="C31" si="0">MEDIAN(B31,D31:E31)</f>
        <v>0.27</v>
      </c>
      <c r="D31" s="2">
        <v>0.34</v>
      </c>
      <c r="E31" s="2">
        <v>0.27</v>
      </c>
      <c r="F31" s="1">
        <v>0.19</v>
      </c>
      <c r="G31" s="1">
        <v>0.13</v>
      </c>
      <c r="H31" s="1">
        <v>0.13</v>
      </c>
      <c r="I31" s="1">
        <v>0.61</v>
      </c>
    </row>
    <row r="32" spans="1:9" x14ac:dyDescent="0.3">
      <c r="A32" t="s">
        <v>40</v>
      </c>
      <c r="B32" s="2">
        <v>0.46</v>
      </c>
      <c r="C32" s="2">
        <f>MEDIAN(B32,D32)</f>
        <v>0.35499999999999998</v>
      </c>
      <c r="D32" s="2">
        <v>0.25</v>
      </c>
      <c r="E32" s="2">
        <v>0.35499999999999998</v>
      </c>
      <c r="F32" s="1">
        <v>0.16</v>
      </c>
      <c r="G32" s="1">
        <v>0.16</v>
      </c>
      <c r="H32" s="1">
        <v>0.16</v>
      </c>
      <c r="I32" s="1">
        <v>0.16</v>
      </c>
    </row>
    <row r="33" spans="1:9" x14ac:dyDescent="0.3">
      <c r="A33" t="s">
        <v>42</v>
      </c>
      <c r="B33" s="2">
        <v>0.19</v>
      </c>
      <c r="C33" s="2">
        <v>0.19</v>
      </c>
      <c r="D33" s="2">
        <v>0.19</v>
      </c>
      <c r="E33" s="2">
        <v>0.19</v>
      </c>
      <c r="F33" s="1">
        <v>0.14000000000000001</v>
      </c>
      <c r="G33" s="1">
        <f>MEDIAN(F33,H33)</f>
        <v>0.115</v>
      </c>
      <c r="H33" s="1">
        <v>0.09</v>
      </c>
      <c r="I33" s="1">
        <v>0.115</v>
      </c>
    </row>
    <row r="34" spans="1:9" x14ac:dyDescent="0.3">
      <c r="A34" t="s">
        <v>43</v>
      </c>
      <c r="B34" s="2">
        <v>0.36</v>
      </c>
      <c r="C34" s="2">
        <v>0.17</v>
      </c>
      <c r="D34" s="2">
        <v>0.36</v>
      </c>
      <c r="E34" s="2">
        <v>0.17</v>
      </c>
      <c r="F34" s="1">
        <v>0.36</v>
      </c>
      <c r="G34" s="1">
        <v>0.36</v>
      </c>
      <c r="H34" s="1">
        <v>0.36</v>
      </c>
      <c r="I34" s="1">
        <v>0.47</v>
      </c>
    </row>
    <row r="35" spans="1:9" x14ac:dyDescent="0.3">
      <c r="A35" t="s">
        <v>44</v>
      </c>
      <c r="B35" s="2">
        <v>0.03</v>
      </c>
      <c r="C35" s="2">
        <f>MEDIAN(B35,D35:E35)</f>
        <v>0.03</v>
      </c>
      <c r="D35" s="2">
        <v>0.04</v>
      </c>
      <c r="E35" s="2">
        <v>0.03</v>
      </c>
      <c r="F35" s="1">
        <v>0.05</v>
      </c>
      <c r="G35" s="1">
        <v>0.03</v>
      </c>
      <c r="H35" s="1">
        <v>0.03</v>
      </c>
      <c r="I35" s="1">
        <v>0.03</v>
      </c>
    </row>
    <row r="36" spans="1:9" x14ac:dyDescent="0.3">
      <c r="A36" t="s">
        <v>45</v>
      </c>
      <c r="B36" s="2">
        <v>0.66</v>
      </c>
      <c r="C36" s="2">
        <f>MEDIAN(B36,D36)</f>
        <v>0.95500000000000007</v>
      </c>
      <c r="D36" s="2">
        <v>1.25</v>
      </c>
      <c r="E36" s="2">
        <v>0.95499999999999996</v>
      </c>
      <c r="F36" s="1">
        <v>1.49</v>
      </c>
      <c r="G36" s="1">
        <f>MEDIAN(F36,H36)</f>
        <v>1.165</v>
      </c>
      <c r="H36" s="1">
        <v>0.84</v>
      </c>
      <c r="I36" s="1">
        <v>1.165</v>
      </c>
    </row>
    <row r="37" spans="1:9" x14ac:dyDescent="0.3">
      <c r="A37" t="s">
        <v>46</v>
      </c>
      <c r="B37" s="2">
        <v>0.27</v>
      </c>
      <c r="C37" s="2">
        <v>0.2</v>
      </c>
      <c r="D37" s="2">
        <v>0.44</v>
      </c>
      <c r="E37" s="2">
        <v>0.2</v>
      </c>
      <c r="F37" s="1">
        <v>0.35</v>
      </c>
      <c r="G37" s="1">
        <v>0.13</v>
      </c>
      <c r="H37" s="1">
        <v>0.13</v>
      </c>
      <c r="I37" s="1">
        <v>0.27</v>
      </c>
    </row>
    <row r="38" spans="1:9" x14ac:dyDescent="0.3">
      <c r="A38" t="s">
        <v>47</v>
      </c>
      <c r="B38" s="2">
        <v>0.41</v>
      </c>
      <c r="C38" s="2">
        <v>0.41</v>
      </c>
      <c r="D38" s="2">
        <v>0.41</v>
      </c>
      <c r="E38" s="2">
        <v>0.41</v>
      </c>
      <c r="F38" s="1">
        <v>0.41</v>
      </c>
      <c r="G38" s="1">
        <v>0.41</v>
      </c>
      <c r="H38" s="1">
        <v>0.26</v>
      </c>
      <c r="I38" s="1">
        <v>0.41</v>
      </c>
    </row>
    <row r="39" spans="1:9" x14ac:dyDescent="0.3">
      <c r="A39" t="s">
        <v>48</v>
      </c>
      <c r="B39" s="2">
        <v>0.12</v>
      </c>
      <c r="C39" s="2">
        <v>0.12</v>
      </c>
      <c r="D39" s="2">
        <v>0.12</v>
      </c>
      <c r="E39" s="2">
        <v>0.12</v>
      </c>
      <c r="F39" s="1">
        <v>0.5</v>
      </c>
      <c r="G39" s="1">
        <v>0.5</v>
      </c>
      <c r="H39" s="1">
        <v>0.5</v>
      </c>
      <c r="I39" s="1">
        <v>0.5</v>
      </c>
    </row>
    <row r="40" spans="1:9" x14ac:dyDescent="0.3">
      <c r="A40" t="s">
        <v>49</v>
      </c>
      <c r="B40" s="2">
        <v>0.7</v>
      </c>
      <c r="C40" s="2">
        <v>0.37</v>
      </c>
      <c r="D40" s="2">
        <f>MEDIAN(B40:C40)</f>
        <v>0.53499999999999992</v>
      </c>
      <c r="E40" s="2">
        <v>0.53500000000000003</v>
      </c>
      <c r="F40" s="1">
        <v>1.1000000000000001</v>
      </c>
      <c r="G40" s="1">
        <v>1.1000000000000001</v>
      </c>
      <c r="H40" s="1">
        <v>1.1000000000000001</v>
      </c>
      <c r="I40" s="1">
        <v>1.1000000000000001</v>
      </c>
    </row>
    <row r="41" spans="1:9" x14ac:dyDescent="0.3">
      <c r="A41" t="s">
        <v>50</v>
      </c>
      <c r="B41" s="2">
        <v>0.39</v>
      </c>
      <c r="C41" s="2">
        <v>0.22</v>
      </c>
      <c r="D41" s="2">
        <v>0.3</v>
      </c>
      <c r="E41" s="2">
        <v>0.69</v>
      </c>
      <c r="F41" s="1">
        <v>0.22</v>
      </c>
      <c r="G41" s="1">
        <v>0.3</v>
      </c>
      <c r="H41" s="1">
        <v>0.14000000000000001</v>
      </c>
      <c r="I41" s="1">
        <v>0.39</v>
      </c>
    </row>
    <row r="42" spans="1:9" x14ac:dyDescent="0.3">
      <c r="A42" t="s">
        <v>51</v>
      </c>
      <c r="B42" s="2">
        <v>0.25</v>
      </c>
      <c r="C42" s="2">
        <v>0.25</v>
      </c>
      <c r="D42" s="2">
        <v>0.25</v>
      </c>
      <c r="E42" s="2">
        <v>0.25</v>
      </c>
      <c r="F42" s="1">
        <v>0.4</v>
      </c>
      <c r="G42" s="1">
        <f>MEDIAN(F42,I42)</f>
        <v>0.32500000000000001</v>
      </c>
      <c r="H42" s="1">
        <v>0.32500000000000001</v>
      </c>
      <c r="I42" s="1">
        <v>0.25</v>
      </c>
    </row>
    <row r="43" spans="1:9" x14ac:dyDescent="0.3">
      <c r="A43" t="s">
        <v>52</v>
      </c>
      <c r="B43" s="2">
        <v>0.06</v>
      </c>
      <c r="C43" s="2">
        <v>0.03</v>
      </c>
      <c r="D43" s="2">
        <v>0.03</v>
      </c>
      <c r="E43" s="2">
        <v>4.4999999999999998E-2</v>
      </c>
      <c r="F43" s="1">
        <v>0.06</v>
      </c>
      <c r="G43" s="1">
        <v>0.06</v>
      </c>
      <c r="H43" s="1">
        <v>0.06</v>
      </c>
      <c r="I43" s="1">
        <v>0.03</v>
      </c>
    </row>
    <row r="44" spans="1:9" x14ac:dyDescent="0.3">
      <c r="A44" t="s">
        <v>53</v>
      </c>
      <c r="B44" s="2">
        <v>0.19</v>
      </c>
      <c r="C44" s="2">
        <v>0.19</v>
      </c>
      <c r="D44" s="2">
        <v>0.19</v>
      </c>
      <c r="E44" s="2">
        <v>0.19</v>
      </c>
      <c r="F44" s="1">
        <v>0.19</v>
      </c>
      <c r="G44" s="1">
        <v>0.19</v>
      </c>
      <c r="H44" s="1">
        <v>0.09</v>
      </c>
      <c r="I44" s="1">
        <v>0.19</v>
      </c>
    </row>
    <row r="45" spans="1:9" x14ac:dyDescent="0.3">
      <c r="A45" t="s">
        <v>54</v>
      </c>
      <c r="B45" s="2">
        <v>0.33</v>
      </c>
      <c r="C45" s="2">
        <f>MEDIAN(B45,D45)</f>
        <v>0.24</v>
      </c>
      <c r="D45" s="2">
        <v>0.15</v>
      </c>
      <c r="E45" s="2">
        <f>MEDIAN(B45:D45)</f>
        <v>0.24</v>
      </c>
      <c r="F45" s="1">
        <v>0.33</v>
      </c>
      <c r="G45" s="1">
        <v>0.33</v>
      </c>
      <c r="H45" s="1">
        <v>0.33</v>
      </c>
      <c r="I45" s="1">
        <v>0.33</v>
      </c>
    </row>
    <row r="46" spans="1:9" x14ac:dyDescent="0.3">
      <c r="A46" t="s">
        <v>55</v>
      </c>
      <c r="B46" s="2">
        <v>0.19</v>
      </c>
      <c r="C46" s="2">
        <v>0.3</v>
      </c>
      <c r="D46" s="2">
        <v>0.19</v>
      </c>
      <c r="E46" s="2">
        <f>MEDIAN(B46:D46)</f>
        <v>0.19</v>
      </c>
      <c r="F46" s="1">
        <v>0.495</v>
      </c>
      <c r="G46" s="1">
        <f>MEDIAN(H46:I46)</f>
        <v>0.495</v>
      </c>
      <c r="H46" s="1">
        <v>0.3</v>
      </c>
      <c r="I46" s="1">
        <v>0.69</v>
      </c>
    </row>
    <row r="47" spans="1:9" x14ac:dyDescent="0.3">
      <c r="A47" t="s">
        <v>56</v>
      </c>
      <c r="B47" s="2">
        <v>0.28000000000000003</v>
      </c>
      <c r="C47" s="2">
        <f>MEDIAN(B47,E47)</f>
        <v>0.45500000000000002</v>
      </c>
      <c r="D47" s="2">
        <v>0.45500000000000002</v>
      </c>
      <c r="E47" s="2">
        <v>0.63</v>
      </c>
      <c r="F47" s="1">
        <v>1.08</v>
      </c>
      <c r="G47" s="1">
        <v>1.08</v>
      </c>
      <c r="H47" s="1">
        <v>1.08</v>
      </c>
      <c r="I47" s="1">
        <v>1.08</v>
      </c>
    </row>
    <row r="48" spans="1:9" x14ac:dyDescent="0.3">
      <c r="A48" t="s">
        <v>57</v>
      </c>
      <c r="B48" s="2">
        <v>0.03</v>
      </c>
      <c r="C48" s="2">
        <v>0.05</v>
      </c>
      <c r="D48" s="2">
        <v>0.05</v>
      </c>
      <c r="E48" s="2">
        <v>0.12</v>
      </c>
      <c r="F48" s="1">
        <v>7.0000000000000007E-2</v>
      </c>
      <c r="G48" s="1">
        <v>7.0000000000000007E-2</v>
      </c>
      <c r="H48" s="1">
        <v>7.0000000000000007E-2</v>
      </c>
      <c r="I48" s="1">
        <v>7.0000000000000007E-2</v>
      </c>
    </row>
    <row r="49" spans="1:9" x14ac:dyDescent="0.3">
      <c r="A49" t="s">
        <v>58</v>
      </c>
      <c r="B49" s="2">
        <v>0.14000000000000001</v>
      </c>
      <c r="C49" s="2">
        <v>0.8</v>
      </c>
      <c r="D49" s="2">
        <f>MEDIAN(B49:C49,E49)</f>
        <v>0.3</v>
      </c>
      <c r="E49" s="2">
        <v>0.3</v>
      </c>
      <c r="F49" s="1">
        <v>0.22</v>
      </c>
      <c r="G49" s="1">
        <v>0.22</v>
      </c>
      <c r="H49" s="1">
        <v>0.22</v>
      </c>
      <c r="I49" s="1">
        <v>0.22</v>
      </c>
    </row>
    <row r="50" spans="1:9" x14ac:dyDescent="0.3">
      <c r="A50" t="s">
        <v>59</v>
      </c>
      <c r="B50" s="2">
        <v>0.15</v>
      </c>
      <c r="C50" s="2">
        <v>0.15</v>
      </c>
      <c r="D50" s="2">
        <v>0.1</v>
      </c>
      <c r="E50" s="2">
        <f>MEDIAN(B50:D50)</f>
        <v>0.15</v>
      </c>
      <c r="F50" s="1">
        <v>0.23</v>
      </c>
      <c r="G50" s="1">
        <f>MEDIAN(H50:I50)</f>
        <v>0.23</v>
      </c>
      <c r="H50" s="1">
        <v>0.26</v>
      </c>
      <c r="I50" s="1">
        <v>0.2</v>
      </c>
    </row>
    <row r="51" spans="1:9" x14ac:dyDescent="0.3">
      <c r="A51" t="s">
        <v>60</v>
      </c>
      <c r="B51" s="2">
        <v>0.41</v>
      </c>
      <c r="C51" s="2">
        <v>0.41</v>
      </c>
      <c r="D51" s="2">
        <v>0.62</v>
      </c>
      <c r="E51" s="2">
        <v>0.15</v>
      </c>
      <c r="F51" s="1">
        <v>0.62</v>
      </c>
      <c r="G51" s="1">
        <v>0.23</v>
      </c>
      <c r="H51" s="1">
        <v>0.52</v>
      </c>
      <c r="I51" s="1">
        <v>0.41</v>
      </c>
    </row>
    <row r="52" spans="1:9" x14ac:dyDescent="0.3">
      <c r="A52" t="s">
        <v>61</v>
      </c>
      <c r="B52" s="2">
        <v>0.13</v>
      </c>
      <c r="C52" s="2">
        <f>MEDIAN(B52,D52)</f>
        <v>0.10500000000000001</v>
      </c>
      <c r="D52" s="2">
        <v>0.08</v>
      </c>
      <c r="E52" s="2">
        <v>0.105</v>
      </c>
      <c r="F52" s="1">
        <v>0.32</v>
      </c>
      <c r="G52" s="1">
        <f>MEDIAN(F52,H52:I52)</f>
        <v>0.08</v>
      </c>
      <c r="H52" s="1">
        <v>0.08</v>
      </c>
      <c r="I52" s="1">
        <v>0.08</v>
      </c>
    </row>
    <row r="53" spans="1:9" x14ac:dyDescent="0.3">
      <c r="A53" t="s">
        <v>62</v>
      </c>
      <c r="B53" s="2">
        <v>0.13</v>
      </c>
      <c r="C53" s="2">
        <v>0.13</v>
      </c>
      <c r="D53" s="2">
        <v>0.13</v>
      </c>
      <c r="E53" s="2">
        <v>0.13</v>
      </c>
      <c r="F53" s="1">
        <v>0.28000000000000003</v>
      </c>
      <c r="G53" s="1">
        <v>0.28000000000000003</v>
      </c>
      <c r="H53" s="1">
        <v>0.28000000000000003</v>
      </c>
      <c r="I53" s="1">
        <v>0.28000000000000003</v>
      </c>
    </row>
    <row r="54" spans="1:9" x14ac:dyDescent="0.3">
      <c r="A54" t="s">
        <v>63</v>
      </c>
      <c r="B54" s="2">
        <v>0.24</v>
      </c>
      <c r="C54" s="2">
        <v>0.24</v>
      </c>
      <c r="D54" s="2">
        <v>0.44</v>
      </c>
      <c r="E54" s="2">
        <v>0.34</v>
      </c>
      <c r="F54" s="1">
        <v>0.34</v>
      </c>
      <c r="G54" s="1">
        <v>0.34</v>
      </c>
      <c r="H54" s="1">
        <v>0.34</v>
      </c>
      <c r="I54" s="1">
        <v>0.34</v>
      </c>
    </row>
    <row r="55" spans="1:9" x14ac:dyDescent="0.3">
      <c r="A55" t="s">
        <v>64</v>
      </c>
      <c r="B55" s="2">
        <v>0.21</v>
      </c>
      <c r="C55" s="2">
        <v>0.63</v>
      </c>
      <c r="D55" s="2">
        <f>MEDIAN(B55:C55)</f>
        <v>0.42000000000000004</v>
      </c>
      <c r="E55" s="2">
        <v>0.42</v>
      </c>
      <c r="F55" s="1">
        <v>0.34</v>
      </c>
      <c r="G55" s="1">
        <v>0.34</v>
      </c>
      <c r="H55" s="1">
        <v>0.34</v>
      </c>
      <c r="I55" s="1">
        <v>0.34</v>
      </c>
    </row>
    <row r="56" spans="1:9" x14ac:dyDescent="0.3">
      <c r="A56" t="s">
        <v>65</v>
      </c>
      <c r="B56" s="2">
        <v>0.08</v>
      </c>
      <c r="C56" s="2">
        <v>0.08</v>
      </c>
      <c r="D56" s="2">
        <v>0.08</v>
      </c>
      <c r="E56" s="2">
        <v>0.08</v>
      </c>
      <c r="F56" s="1">
        <v>0.12</v>
      </c>
      <c r="G56" s="1">
        <f>MEDIAN(F56,I56)</f>
        <v>0.16499999999999998</v>
      </c>
      <c r="H56" s="1">
        <v>0.16500000000000001</v>
      </c>
      <c r="I56" s="1">
        <v>0.21</v>
      </c>
    </row>
    <row r="57" spans="1:9" x14ac:dyDescent="0.3">
      <c r="A57" t="s">
        <v>67</v>
      </c>
      <c r="B57" s="2">
        <v>0.32</v>
      </c>
      <c r="C57" s="2">
        <v>0.32</v>
      </c>
      <c r="D57" s="2">
        <v>0.32</v>
      </c>
      <c r="E57" s="2">
        <v>0.32</v>
      </c>
      <c r="F57" s="1">
        <v>0.75</v>
      </c>
      <c r="G57" s="1">
        <v>0.75</v>
      </c>
      <c r="H57" s="1">
        <v>0.75</v>
      </c>
      <c r="I57" s="1">
        <v>0.75</v>
      </c>
    </row>
    <row r="58" spans="1:9" x14ac:dyDescent="0.3">
      <c r="A58" t="s">
        <v>68</v>
      </c>
      <c r="B58" s="2">
        <v>0.05</v>
      </c>
      <c r="C58" s="2">
        <v>0.05</v>
      </c>
      <c r="D58" s="2">
        <v>0.05</v>
      </c>
      <c r="E58" s="2">
        <v>0.05</v>
      </c>
      <c r="F58" s="1">
        <v>6.5000000000000002E-2</v>
      </c>
      <c r="G58" s="1">
        <f>MEDIAN(H58:I58)</f>
        <v>6.5000000000000002E-2</v>
      </c>
      <c r="H58" s="1">
        <v>0.05</v>
      </c>
      <c r="I58" s="1">
        <v>0.08</v>
      </c>
    </row>
    <row r="59" spans="1:9" x14ac:dyDescent="0.3">
      <c r="A59" t="s">
        <v>69</v>
      </c>
      <c r="B59" s="2">
        <v>0.09</v>
      </c>
      <c r="C59" s="2">
        <f>MEDIAN(B59,D59:E59)</f>
        <v>0.14000000000000001</v>
      </c>
      <c r="D59" s="2">
        <v>0.19</v>
      </c>
      <c r="E59" s="2">
        <v>0.14000000000000001</v>
      </c>
      <c r="F59" s="1">
        <v>0.17</v>
      </c>
      <c r="G59" s="1">
        <f>MEDIAN(F59,H59:I59)</f>
        <v>7.0000000000000007E-2</v>
      </c>
      <c r="H59" s="1">
        <v>7.0000000000000007E-2</v>
      </c>
      <c r="I59" s="1">
        <v>0.04</v>
      </c>
    </row>
    <row r="60" spans="1:9" x14ac:dyDescent="0.3">
      <c r="A60" t="s">
        <v>70</v>
      </c>
      <c r="B60" s="2">
        <v>0.11</v>
      </c>
      <c r="C60" s="2">
        <f>MEDIAN(B60,D60)</f>
        <v>0.13</v>
      </c>
      <c r="D60" s="2">
        <v>0.15</v>
      </c>
      <c r="E60" s="2">
        <v>0.13</v>
      </c>
      <c r="F60" s="1">
        <v>0.23</v>
      </c>
      <c r="G60" s="1">
        <v>0.11</v>
      </c>
      <c r="H60" s="1">
        <v>0.11</v>
      </c>
      <c r="I60" s="1">
        <v>0.18</v>
      </c>
    </row>
    <row r="61" spans="1:9" x14ac:dyDescent="0.3">
      <c r="A61" t="s">
        <v>71</v>
      </c>
      <c r="B61" s="2">
        <v>0.18</v>
      </c>
      <c r="C61" s="2">
        <v>0.18</v>
      </c>
      <c r="D61" s="2">
        <v>0.18</v>
      </c>
      <c r="E61" s="2">
        <v>0.18</v>
      </c>
      <c r="F61" s="1">
        <v>0.64</v>
      </c>
      <c r="G61" s="1">
        <v>0.64</v>
      </c>
      <c r="H61" s="1">
        <v>0.64</v>
      </c>
      <c r="I61" s="1">
        <v>0.64</v>
      </c>
    </row>
    <row r="62" spans="1:9" x14ac:dyDescent="0.3">
      <c r="A62" t="s">
        <v>72</v>
      </c>
      <c r="B62" s="2">
        <v>1.1499999999999999</v>
      </c>
      <c r="C62" s="2">
        <v>1.1499999999999999</v>
      </c>
      <c r="D62" s="2">
        <v>1.1499999999999999</v>
      </c>
      <c r="E62" s="2">
        <v>1.1499999999999999</v>
      </c>
      <c r="F62" s="1">
        <v>1.1499999999999999</v>
      </c>
      <c r="G62" s="1">
        <v>1.1499999999999999</v>
      </c>
      <c r="H62" s="1">
        <v>1.1499999999999999</v>
      </c>
      <c r="I62" s="1">
        <v>1.1499999999999999</v>
      </c>
    </row>
    <row r="63" spans="1:9" x14ac:dyDescent="0.3">
      <c r="A63" t="s">
        <v>73</v>
      </c>
      <c r="B63" s="2">
        <v>0.71</v>
      </c>
      <c r="C63" s="2">
        <f>MEDIAN(B63,D63:E63)</f>
        <v>1.05</v>
      </c>
      <c r="D63" s="2">
        <v>1.05</v>
      </c>
      <c r="E63" s="2">
        <v>1.05</v>
      </c>
      <c r="F63" s="1">
        <v>2.52</v>
      </c>
      <c r="G63" s="1">
        <v>1.94</v>
      </c>
      <c r="H63" s="1">
        <v>1.94</v>
      </c>
      <c r="I63" s="1">
        <v>1.94</v>
      </c>
    </row>
    <row r="64" spans="1:9" x14ac:dyDescent="0.3">
      <c r="A64" t="s">
        <v>74</v>
      </c>
      <c r="B64" s="2">
        <v>0.11</v>
      </c>
      <c r="C64" s="2">
        <v>0.11</v>
      </c>
      <c r="D64" s="2">
        <v>0.16</v>
      </c>
      <c r="E64" s="2">
        <f>MEDIAN(B64:D64)</f>
        <v>0.11</v>
      </c>
      <c r="F64" s="1">
        <v>0.11</v>
      </c>
      <c r="G64" s="1">
        <v>0.11</v>
      </c>
      <c r="H64" s="1">
        <v>0.11</v>
      </c>
      <c r="I64" s="1">
        <v>0.16</v>
      </c>
    </row>
    <row r="65" spans="1:9" x14ac:dyDescent="0.3">
      <c r="A65" t="s">
        <v>75</v>
      </c>
      <c r="B65" s="2">
        <v>0.08</v>
      </c>
      <c r="C65" s="2">
        <f>MEDIAN(B65,D65)</f>
        <v>0.1</v>
      </c>
      <c r="D65" s="2">
        <v>0.12</v>
      </c>
      <c r="E65" s="2">
        <v>0.1</v>
      </c>
      <c r="F65" s="1">
        <v>0.12</v>
      </c>
      <c r="G65" s="1">
        <v>0.12</v>
      </c>
      <c r="H65" s="1">
        <v>0.12</v>
      </c>
      <c r="I65" s="1">
        <v>0.12</v>
      </c>
    </row>
    <row r="66" spans="1:9" x14ac:dyDescent="0.3">
      <c r="A66" t="s">
        <v>76</v>
      </c>
      <c r="B66" s="2">
        <v>5.47</v>
      </c>
      <c r="C66" s="2">
        <v>1.54</v>
      </c>
      <c r="D66" s="2">
        <v>3.06</v>
      </c>
      <c r="E66" s="2">
        <f>MEDIAN(B66:D66)</f>
        <v>3.06</v>
      </c>
      <c r="F66" s="1">
        <v>3.06</v>
      </c>
      <c r="G66" s="1">
        <v>1.54</v>
      </c>
      <c r="H66" s="1">
        <v>1.54</v>
      </c>
      <c r="I66" s="1">
        <v>1.54</v>
      </c>
    </row>
    <row r="67" spans="1:9" x14ac:dyDescent="0.3">
      <c r="A67" t="s">
        <v>77</v>
      </c>
      <c r="B67" s="2">
        <v>0.05</v>
      </c>
      <c r="C67" s="2">
        <v>0.05</v>
      </c>
      <c r="D67" s="2">
        <v>0.05</v>
      </c>
      <c r="E67" s="2">
        <v>0.05</v>
      </c>
      <c r="F67" s="1">
        <v>0.11</v>
      </c>
      <c r="G67" s="1">
        <v>0.11</v>
      </c>
      <c r="H67" s="1">
        <v>0.11</v>
      </c>
      <c r="I67" s="1">
        <v>0.11</v>
      </c>
    </row>
    <row r="68" spans="1:9" x14ac:dyDescent="0.3">
      <c r="A68" t="s">
        <v>78</v>
      </c>
      <c r="B68" s="2">
        <v>1.06</v>
      </c>
      <c r="C68" s="2">
        <v>1.06</v>
      </c>
      <c r="D68" s="2">
        <v>1.97</v>
      </c>
      <c r="E68" s="2">
        <v>1.06</v>
      </c>
      <c r="F68" s="1">
        <v>1.97</v>
      </c>
      <c r="G68" s="1">
        <v>1.97</v>
      </c>
      <c r="H68" s="1">
        <v>1.97</v>
      </c>
      <c r="I68" s="1">
        <v>1.97</v>
      </c>
    </row>
    <row r="69" spans="1:9" x14ac:dyDescent="0.3">
      <c r="A69" t="s">
        <v>79</v>
      </c>
      <c r="B69" s="2">
        <v>0.28000000000000003</v>
      </c>
      <c r="C69" s="2">
        <v>0.28000000000000003</v>
      </c>
      <c r="D69" s="2">
        <v>0.28000000000000003</v>
      </c>
      <c r="E69" s="2">
        <v>0.28000000000000003</v>
      </c>
      <c r="F69" s="1">
        <v>0.44</v>
      </c>
      <c r="G69" s="1">
        <v>0.44</v>
      </c>
      <c r="H69" s="1">
        <v>0.44</v>
      </c>
      <c r="I69" s="1">
        <v>0.44</v>
      </c>
    </row>
    <row r="70" spans="1:9" x14ac:dyDescent="0.3">
      <c r="A70" t="s">
        <v>80</v>
      </c>
      <c r="B70" s="2">
        <v>0.2</v>
      </c>
      <c r="C70" s="2">
        <v>0.2</v>
      </c>
      <c r="D70" s="2">
        <v>0.2</v>
      </c>
      <c r="E70" s="2">
        <v>0.2</v>
      </c>
      <c r="F70" s="1">
        <v>0.26</v>
      </c>
      <c r="G70" s="1">
        <f>MEDIAN(H70:I70)</f>
        <v>0.26</v>
      </c>
      <c r="H70" s="1">
        <v>0.2</v>
      </c>
      <c r="I70" s="1">
        <v>0.32</v>
      </c>
    </row>
    <row r="71" spans="1:9" x14ac:dyDescent="0.3">
      <c r="A71" t="s">
        <v>81</v>
      </c>
      <c r="B71" s="2">
        <v>0.19</v>
      </c>
      <c r="C71" s="2">
        <f>MEDIAN(B71,D71:E71)</f>
        <v>0.19</v>
      </c>
      <c r="D71" s="2">
        <v>0.28999999999999998</v>
      </c>
      <c r="E71" s="2">
        <v>0.19</v>
      </c>
      <c r="F71" s="1">
        <v>0.19</v>
      </c>
      <c r="G71" s="1">
        <v>0.19</v>
      </c>
      <c r="H71" s="1">
        <v>0.19</v>
      </c>
      <c r="I71" s="1">
        <v>0.19</v>
      </c>
    </row>
    <row r="72" spans="1:9" x14ac:dyDescent="0.3">
      <c r="A72" t="s">
        <v>82</v>
      </c>
      <c r="B72" s="2">
        <v>3.57</v>
      </c>
      <c r="C72" s="2">
        <f>MEDIAN(B72,D72)</f>
        <v>2.3549999999999995</v>
      </c>
      <c r="D72" s="2">
        <v>1.1399999999999999</v>
      </c>
      <c r="E72" s="2">
        <v>2.355</v>
      </c>
      <c r="F72" s="1">
        <v>2.13</v>
      </c>
      <c r="G72" s="1">
        <v>2.13</v>
      </c>
      <c r="H72" s="1">
        <v>2.13</v>
      </c>
      <c r="I72" s="1">
        <v>2.13</v>
      </c>
    </row>
    <row r="73" spans="1:9" x14ac:dyDescent="0.3">
      <c r="A73" t="s">
        <v>83</v>
      </c>
      <c r="B73" s="2">
        <v>0.2</v>
      </c>
      <c r="C73" s="2">
        <v>0.2</v>
      </c>
      <c r="D73" s="2">
        <v>0.2</v>
      </c>
      <c r="E73" s="2">
        <v>0.2</v>
      </c>
      <c r="F73" s="1">
        <v>0.45</v>
      </c>
      <c r="G73" s="1">
        <v>0.45</v>
      </c>
      <c r="H73" s="1">
        <v>0.45</v>
      </c>
      <c r="I73" s="1">
        <v>0.45</v>
      </c>
    </row>
    <row r="74" spans="1:9" x14ac:dyDescent="0.3">
      <c r="A74" t="s">
        <v>84</v>
      </c>
      <c r="B74" s="2">
        <v>0.25</v>
      </c>
      <c r="C74" s="2">
        <v>0.25</v>
      </c>
      <c r="D74" s="2">
        <f>MEDIAN(B74:C74,E74)</f>
        <v>0.25</v>
      </c>
      <c r="E74" s="2">
        <v>0.93</v>
      </c>
      <c r="F74" s="1">
        <v>0.25</v>
      </c>
      <c r="G74" s="1">
        <v>0.25</v>
      </c>
      <c r="H74" s="1">
        <v>0.25</v>
      </c>
      <c r="I74" s="1">
        <v>0.25</v>
      </c>
    </row>
    <row r="75" spans="1:9" x14ac:dyDescent="0.3">
      <c r="A75" t="s">
        <v>86</v>
      </c>
      <c r="B75" s="2">
        <v>0.08</v>
      </c>
      <c r="C75" s="2">
        <v>0.08</v>
      </c>
      <c r="D75" s="2">
        <v>0.08</v>
      </c>
      <c r="E75" s="2">
        <v>0.08</v>
      </c>
      <c r="F75" s="1">
        <v>0.48</v>
      </c>
      <c r="G75" s="1">
        <f>MEDIAN(F75,H75:I75)</f>
        <v>0.17</v>
      </c>
      <c r="H75" s="1">
        <v>0.17</v>
      </c>
      <c r="I75" s="1">
        <v>0.12</v>
      </c>
    </row>
    <row r="76" spans="1:9" x14ac:dyDescent="0.3">
      <c r="A76" t="s">
        <v>87</v>
      </c>
      <c r="B76" s="2">
        <v>0.4</v>
      </c>
      <c r="C76" s="2">
        <v>0.4</v>
      </c>
      <c r="D76" s="2">
        <v>0.4</v>
      </c>
      <c r="E76" s="2">
        <v>0.4</v>
      </c>
      <c r="F76" s="1">
        <v>2.21</v>
      </c>
      <c r="G76" s="1">
        <v>0.4</v>
      </c>
      <c r="H76" s="1">
        <f>MEDIAN(F76:G76)</f>
        <v>1.3050000000000002</v>
      </c>
      <c r="I76" s="1">
        <v>1.3049999999999999</v>
      </c>
    </row>
    <row r="77" spans="1:9" x14ac:dyDescent="0.3">
      <c r="A77" t="s">
        <v>88</v>
      </c>
      <c r="B77" s="2">
        <v>0.15</v>
      </c>
      <c r="C77" s="2">
        <v>0.15</v>
      </c>
      <c r="D77" s="2">
        <v>0.15</v>
      </c>
      <c r="E77" s="2">
        <v>0.15</v>
      </c>
      <c r="F77" s="1">
        <v>0.75</v>
      </c>
      <c r="G77" s="1">
        <v>0.23</v>
      </c>
      <c r="H77" s="1">
        <v>0.23</v>
      </c>
      <c r="I77" s="1">
        <v>0.23</v>
      </c>
    </row>
    <row r="78" spans="1:9" x14ac:dyDescent="0.3">
      <c r="A78" t="s">
        <v>90</v>
      </c>
      <c r="B78" s="2">
        <v>0.84</v>
      </c>
      <c r="C78" s="2">
        <v>0.84</v>
      </c>
      <c r="D78" s="2">
        <v>0.84</v>
      </c>
      <c r="E78" s="2">
        <v>0.84</v>
      </c>
      <c r="F78" s="1">
        <v>0.84</v>
      </c>
      <c r="G78" s="1">
        <f>MEDIAN(F78,I78)</f>
        <v>1.0449999999999999</v>
      </c>
      <c r="H78" s="1">
        <v>1.0449999999999999</v>
      </c>
      <c r="I78" s="1">
        <v>1.25</v>
      </c>
    </row>
    <row r="79" spans="1:9" x14ac:dyDescent="0.3">
      <c r="A79" t="s">
        <v>92</v>
      </c>
      <c r="B79" s="2">
        <v>0.18</v>
      </c>
      <c r="C79" s="2">
        <v>0.18</v>
      </c>
      <c r="D79" s="2">
        <v>0.18</v>
      </c>
      <c r="E79" s="2">
        <v>0.18</v>
      </c>
      <c r="F79" s="1">
        <v>0.18</v>
      </c>
      <c r="G79" s="1">
        <f>MEDIAN(F79,H79)</f>
        <v>0.22500000000000001</v>
      </c>
      <c r="H79" s="1">
        <v>0.27</v>
      </c>
      <c r="I79" s="1">
        <v>0.22500000000000001</v>
      </c>
    </row>
    <row r="80" spans="1:9" x14ac:dyDescent="0.3">
      <c r="A80" t="s">
        <v>93</v>
      </c>
      <c r="B80" s="2">
        <f>MEDIAN(C80:E80)</f>
        <v>0.24</v>
      </c>
      <c r="C80" s="2">
        <v>0.9</v>
      </c>
      <c r="D80" s="2">
        <v>0.24</v>
      </c>
      <c r="E80" s="2">
        <v>0.24</v>
      </c>
      <c r="F80" s="1">
        <v>0.71</v>
      </c>
      <c r="G80" s="1">
        <v>0.38</v>
      </c>
      <c r="H80" s="1">
        <v>0.38</v>
      </c>
      <c r="I80" s="1">
        <v>0.24</v>
      </c>
    </row>
    <row r="81" spans="1:9" x14ac:dyDescent="0.3">
      <c r="A81" t="s">
        <v>94</v>
      </c>
      <c r="B81" s="2">
        <v>0.2</v>
      </c>
      <c r="C81" s="2">
        <v>0.2</v>
      </c>
      <c r="D81" s="2">
        <v>0.2</v>
      </c>
      <c r="E81" s="2">
        <v>0.2</v>
      </c>
      <c r="F81" s="1">
        <v>0.32</v>
      </c>
      <c r="G81" s="1">
        <v>0.32</v>
      </c>
      <c r="H81" s="1">
        <v>0.32</v>
      </c>
      <c r="I81" s="1">
        <v>0.32</v>
      </c>
    </row>
    <row r="82" spans="1:9" x14ac:dyDescent="0.3">
      <c r="A82" t="s">
        <v>95</v>
      </c>
      <c r="B82" s="2">
        <v>0.26</v>
      </c>
      <c r="C82" s="2">
        <v>0.26</v>
      </c>
      <c r="D82" s="2">
        <v>0.26</v>
      </c>
      <c r="E82" s="2">
        <v>0.26</v>
      </c>
      <c r="F82" s="1">
        <v>0.57999999999999996</v>
      </c>
      <c r="G82" s="1">
        <v>0.7</v>
      </c>
      <c r="H82" s="1">
        <v>0.57999999999999996</v>
      </c>
      <c r="I82" s="1">
        <v>0.26</v>
      </c>
    </row>
    <row r="83" spans="1:9" x14ac:dyDescent="0.3">
      <c r="A83" t="s">
        <v>96</v>
      </c>
      <c r="B83" s="2">
        <v>0.32</v>
      </c>
      <c r="C83" s="2">
        <v>0.32</v>
      </c>
      <c r="D83" s="2">
        <v>0.32</v>
      </c>
      <c r="E83" s="2">
        <v>0.32</v>
      </c>
      <c r="F83" s="1">
        <v>0.32</v>
      </c>
      <c r="G83" s="1">
        <v>0.32</v>
      </c>
      <c r="H83" s="1">
        <v>0.32</v>
      </c>
      <c r="I83" s="1">
        <v>0.32</v>
      </c>
    </row>
    <row r="84" spans="1:9" x14ac:dyDescent="0.3">
      <c r="A84" t="s">
        <v>97</v>
      </c>
      <c r="B84" s="2">
        <f>MEDIAN(C84,E84)</f>
        <v>0.1</v>
      </c>
      <c r="C84" s="2">
        <v>0.12</v>
      </c>
      <c r="D84" s="2">
        <v>0.1</v>
      </c>
      <c r="E84" s="2">
        <v>0.08</v>
      </c>
      <c r="F84" s="1">
        <v>0.12</v>
      </c>
      <c r="G84" s="1">
        <v>0.08</v>
      </c>
      <c r="H84" s="1">
        <v>0.08</v>
      </c>
      <c r="I84" s="1">
        <v>0.12</v>
      </c>
    </row>
    <row r="85" spans="1:9" x14ac:dyDescent="0.3">
      <c r="A85" t="s">
        <v>98</v>
      </c>
      <c r="B85" s="2">
        <f>MEDIAN(C85:E85)</f>
        <v>0.63</v>
      </c>
      <c r="C85" s="2">
        <v>0.43</v>
      </c>
      <c r="D85" s="2">
        <v>0.63</v>
      </c>
      <c r="E85" s="2">
        <v>0.67</v>
      </c>
      <c r="F85" s="1">
        <v>1.33</v>
      </c>
      <c r="G85" s="1">
        <v>0.28000000000000003</v>
      </c>
      <c r="H85" s="1">
        <v>0.28000000000000003</v>
      </c>
      <c r="I85" s="1">
        <v>0.28000000000000003</v>
      </c>
    </row>
    <row r="86" spans="1:9" x14ac:dyDescent="0.3">
      <c r="A86" t="s">
        <v>99</v>
      </c>
      <c r="B86" s="2">
        <v>0.44</v>
      </c>
      <c r="C86" s="2">
        <f>MEDIAN(D86:E86)</f>
        <v>0.44</v>
      </c>
      <c r="D86" s="2">
        <v>0.61</v>
      </c>
      <c r="E86" s="2">
        <v>0.27</v>
      </c>
      <c r="F86" s="1">
        <v>0.61</v>
      </c>
      <c r="G86" s="1">
        <v>0.27</v>
      </c>
      <c r="H86" s="1">
        <v>0.27</v>
      </c>
      <c r="I86" s="1">
        <v>0.81</v>
      </c>
    </row>
    <row r="87" spans="1:9" x14ac:dyDescent="0.3">
      <c r="A87" t="s">
        <v>100</v>
      </c>
      <c r="B87" s="2">
        <v>0.12</v>
      </c>
      <c r="C87" s="2">
        <v>0.12</v>
      </c>
      <c r="D87" s="2">
        <v>0.12</v>
      </c>
      <c r="E87" s="2">
        <v>0.12</v>
      </c>
      <c r="F87" s="1">
        <v>0.06</v>
      </c>
      <c r="G87" s="1">
        <v>0.06</v>
      </c>
      <c r="H87" s="1">
        <v>0.06</v>
      </c>
      <c r="I87" s="1">
        <v>0.06</v>
      </c>
    </row>
    <row r="88" spans="1:9" x14ac:dyDescent="0.3">
      <c r="A88" t="s">
        <v>101</v>
      </c>
      <c r="B88" s="2">
        <v>0.21</v>
      </c>
      <c r="C88" s="2">
        <v>0.21</v>
      </c>
      <c r="D88" s="2">
        <v>0.21</v>
      </c>
      <c r="E88" s="2">
        <v>0.21</v>
      </c>
      <c r="F88" s="1">
        <v>0.75</v>
      </c>
      <c r="G88" s="1">
        <v>0.75</v>
      </c>
      <c r="H88" s="1">
        <v>0.75</v>
      </c>
      <c r="I88" s="1">
        <v>0.75</v>
      </c>
    </row>
    <row r="89" spans="1:9" x14ac:dyDescent="0.3">
      <c r="A89" t="s">
        <v>103</v>
      </c>
      <c r="B89" s="2">
        <v>2.33</v>
      </c>
      <c r="C89" s="2">
        <v>2.33</v>
      </c>
      <c r="D89" s="2">
        <v>2.33</v>
      </c>
      <c r="E89" s="2">
        <v>2.33</v>
      </c>
      <c r="F89" s="1">
        <v>0.82</v>
      </c>
      <c r="G89" s="1">
        <f>MEDIAN(F89,I89)</f>
        <v>1.1399999999999999</v>
      </c>
      <c r="H89" s="1">
        <v>1.1399999999999999</v>
      </c>
      <c r="I89" s="1">
        <v>1.46</v>
      </c>
    </row>
    <row r="90" spans="1:9" x14ac:dyDescent="0.3">
      <c r="A90" t="s">
        <v>104</v>
      </c>
      <c r="B90" s="2">
        <v>1.96</v>
      </c>
      <c r="C90" s="2">
        <v>1.96</v>
      </c>
      <c r="D90" s="2">
        <v>1.96</v>
      </c>
      <c r="E90" s="2">
        <v>1.96</v>
      </c>
      <c r="F90" s="1">
        <v>0.72</v>
      </c>
      <c r="G90" s="1">
        <v>0.72</v>
      </c>
      <c r="H90" s="1">
        <v>0.72</v>
      </c>
      <c r="I90" s="1">
        <v>0.72</v>
      </c>
    </row>
    <row r="91" spans="1:9" x14ac:dyDescent="0.3">
      <c r="A91" t="s">
        <v>105</v>
      </c>
      <c r="B91" s="2">
        <f>MEDIAN(C91:E91)</f>
        <v>1.0900000000000001</v>
      </c>
      <c r="C91" s="2">
        <v>1.0900000000000001</v>
      </c>
      <c r="D91" s="2">
        <v>1.0900000000000001</v>
      </c>
      <c r="E91" s="2">
        <v>18.18</v>
      </c>
      <c r="F91" s="1">
        <v>2.0299999999999998</v>
      </c>
      <c r="G91" s="1">
        <v>5.34</v>
      </c>
      <c r="H91" s="1">
        <v>1.0900000000000001</v>
      </c>
      <c r="I91" s="1">
        <v>2.0299999999999998</v>
      </c>
    </row>
    <row r="92" spans="1:9" x14ac:dyDescent="0.3">
      <c r="A92" t="s">
        <v>107</v>
      </c>
      <c r="B92" s="2">
        <v>0.14000000000000001</v>
      </c>
      <c r="C92" s="2">
        <v>0.14000000000000001</v>
      </c>
      <c r="D92" s="2">
        <v>0.14000000000000001</v>
      </c>
      <c r="E92" s="2">
        <v>0.14000000000000001</v>
      </c>
      <c r="F92" s="1">
        <v>0.22</v>
      </c>
      <c r="G92" s="1">
        <v>0.31</v>
      </c>
      <c r="H92" s="1">
        <v>0.31</v>
      </c>
      <c r="I92" s="1">
        <v>0.4</v>
      </c>
    </row>
    <row r="93" spans="1:9" x14ac:dyDescent="0.3">
      <c r="A93" t="s">
        <v>108</v>
      </c>
      <c r="B93" s="2">
        <v>0.43</v>
      </c>
      <c r="C93" s="2">
        <v>0.43</v>
      </c>
      <c r="D93" s="2">
        <v>0.43</v>
      </c>
      <c r="E93" s="2">
        <v>0.43</v>
      </c>
      <c r="F93" s="1">
        <v>0.35</v>
      </c>
      <c r="G93" s="1">
        <f>MEDIAN(H93:I93,F93)</f>
        <v>0.43</v>
      </c>
      <c r="H93" s="1">
        <v>0.43</v>
      </c>
      <c r="I93" s="1">
        <v>0.52</v>
      </c>
    </row>
    <row r="94" spans="1:9" x14ac:dyDescent="0.3">
      <c r="A94" t="s">
        <v>109</v>
      </c>
      <c r="B94" s="2">
        <v>0.77</v>
      </c>
      <c r="C94" s="2">
        <v>0.77</v>
      </c>
      <c r="D94" s="2">
        <v>0.77</v>
      </c>
      <c r="E94" s="2">
        <v>0.77</v>
      </c>
      <c r="F94" s="1">
        <v>0.41</v>
      </c>
      <c r="G94" s="1">
        <v>0.33</v>
      </c>
      <c r="H94" s="1">
        <f>MEDIAN(F94:G94)</f>
        <v>0.37</v>
      </c>
      <c r="I94" s="1">
        <v>0.37</v>
      </c>
    </row>
    <row r="95" spans="1:9" x14ac:dyDescent="0.3">
      <c r="A95" t="s">
        <v>110</v>
      </c>
      <c r="B95" s="2">
        <v>0.69499999999999995</v>
      </c>
      <c r="C95" s="2">
        <f>MEDIAN(D95:E95)</f>
        <v>0.69500000000000006</v>
      </c>
      <c r="D95" s="2">
        <v>0.91</v>
      </c>
      <c r="E95" s="2">
        <v>0.48</v>
      </c>
      <c r="F95" s="1">
        <v>0.3</v>
      </c>
      <c r="G95" s="1">
        <v>0.3</v>
      </c>
      <c r="H95" s="1">
        <v>0.3</v>
      </c>
      <c r="I95" s="1">
        <v>0.48</v>
      </c>
    </row>
    <row r="96" spans="1:9" x14ac:dyDescent="0.3">
      <c r="A96" t="s">
        <v>111</v>
      </c>
      <c r="B96" s="2">
        <v>1.64</v>
      </c>
      <c r="C96" s="2">
        <v>1.64</v>
      </c>
      <c r="D96" s="2">
        <v>1.64</v>
      </c>
      <c r="E96" s="2">
        <v>1.64</v>
      </c>
      <c r="F96" s="1">
        <v>1.07</v>
      </c>
      <c r="G96" s="1">
        <v>1.07</v>
      </c>
      <c r="H96" s="1">
        <v>1.07</v>
      </c>
      <c r="I96" s="1">
        <v>1.07</v>
      </c>
    </row>
    <row r="97" spans="1:9" x14ac:dyDescent="0.3">
      <c r="A97" t="s">
        <v>172</v>
      </c>
      <c r="B97" s="2">
        <v>0.28000000000000003</v>
      </c>
      <c r="C97" s="2">
        <v>0.28000000000000003</v>
      </c>
      <c r="D97" s="2">
        <v>0.28000000000000003</v>
      </c>
      <c r="E97" s="2">
        <v>0.28000000000000003</v>
      </c>
      <c r="F97" s="1">
        <v>0.64</v>
      </c>
      <c r="G97" s="1">
        <v>0.46</v>
      </c>
      <c r="H97" s="1">
        <v>0.28000000000000003</v>
      </c>
      <c r="I97" s="1">
        <f>MEDIAN(H97,F97)</f>
        <v>0.46</v>
      </c>
    </row>
    <row r="98" spans="1:9" x14ac:dyDescent="0.3">
      <c r="A98" t="s">
        <v>112</v>
      </c>
      <c r="B98" s="2">
        <v>0.14000000000000001</v>
      </c>
      <c r="C98" s="2">
        <v>0.14000000000000001</v>
      </c>
      <c r="D98" s="2">
        <v>0.14000000000000001</v>
      </c>
      <c r="E98" s="2">
        <v>0.14000000000000001</v>
      </c>
      <c r="F98" s="1">
        <v>0.14000000000000001</v>
      </c>
      <c r="G98" s="1">
        <v>0.22</v>
      </c>
      <c r="H98" s="1">
        <v>0.22</v>
      </c>
      <c r="I98" s="1">
        <v>0.39</v>
      </c>
    </row>
    <row r="99" spans="1:9" x14ac:dyDescent="0.3">
      <c r="A99" t="s">
        <v>114</v>
      </c>
      <c r="B99" s="2">
        <v>0.88</v>
      </c>
      <c r="C99" s="2">
        <v>0.88</v>
      </c>
      <c r="D99" s="2">
        <v>0.88</v>
      </c>
      <c r="E99" s="2">
        <v>0.88</v>
      </c>
      <c r="F99" s="1">
        <v>1.46</v>
      </c>
      <c r="G99" s="1">
        <f>MEDIAN(F99,I99)</f>
        <v>0.88500000000000001</v>
      </c>
      <c r="H99" s="1">
        <v>0.88500000000000001</v>
      </c>
      <c r="I99" s="1">
        <v>0.31</v>
      </c>
    </row>
    <row r="100" spans="1:9" x14ac:dyDescent="0.3">
      <c r="A100" t="s">
        <v>116</v>
      </c>
      <c r="B100" s="2">
        <v>0.63</v>
      </c>
      <c r="C100" s="2">
        <v>0.63</v>
      </c>
      <c r="D100" s="2">
        <v>0.63</v>
      </c>
      <c r="E100" s="2">
        <v>0.63</v>
      </c>
      <c r="F100" s="1">
        <v>0.39</v>
      </c>
      <c r="G100" s="1">
        <v>0.39</v>
      </c>
      <c r="H100" s="1">
        <v>0.39</v>
      </c>
      <c r="I100" s="1">
        <v>0.39</v>
      </c>
    </row>
    <row r="101" spans="1:9" x14ac:dyDescent="0.3">
      <c r="A101" t="s">
        <v>119</v>
      </c>
      <c r="B101" s="2">
        <v>0.2</v>
      </c>
      <c r="C101" s="2">
        <v>0.2</v>
      </c>
      <c r="D101" s="2">
        <v>0.2</v>
      </c>
      <c r="E101" s="2">
        <v>0.2</v>
      </c>
      <c r="F101" s="1">
        <v>0.43</v>
      </c>
      <c r="G101" s="1">
        <v>0.43</v>
      </c>
      <c r="H101" s="1">
        <v>0.43</v>
      </c>
      <c r="I101" s="1">
        <v>0.43</v>
      </c>
    </row>
    <row r="102" spans="1:9" x14ac:dyDescent="0.3">
      <c r="A102" t="s">
        <v>120</v>
      </c>
      <c r="B102" s="2">
        <v>0.23</v>
      </c>
      <c r="C102" s="2">
        <v>0.23</v>
      </c>
      <c r="D102" s="2">
        <v>0.23</v>
      </c>
      <c r="E102" s="2">
        <v>0.23</v>
      </c>
      <c r="F102" s="1">
        <v>0.32</v>
      </c>
      <c r="G102" s="1">
        <v>0.15</v>
      </c>
      <c r="H102" s="1">
        <v>0.15</v>
      </c>
      <c r="I102" s="1">
        <v>0.15</v>
      </c>
    </row>
    <row r="103" spans="1:9" x14ac:dyDescent="0.3">
      <c r="A103" t="s">
        <v>121</v>
      </c>
      <c r="B103" s="2">
        <f>MEDIAN(C103:D103)</f>
        <v>0.51</v>
      </c>
      <c r="C103" s="2">
        <v>0.57999999999999996</v>
      </c>
      <c r="D103" s="2">
        <v>0.44</v>
      </c>
      <c r="E103" s="2">
        <v>0.51</v>
      </c>
      <c r="F103" s="1">
        <v>0.44</v>
      </c>
      <c r="G103" s="1">
        <v>0.2</v>
      </c>
      <c r="H103" s="1">
        <f>MEDIAN(F103:G103)</f>
        <v>0.32</v>
      </c>
      <c r="I103" s="1">
        <v>0.32</v>
      </c>
    </row>
    <row r="104" spans="1:9" x14ac:dyDescent="0.3">
      <c r="A104" t="s">
        <v>122</v>
      </c>
      <c r="B104" s="2">
        <v>0.03</v>
      </c>
      <c r="C104" s="2">
        <v>0.03</v>
      </c>
      <c r="D104" s="2">
        <v>0.03</v>
      </c>
      <c r="E104" s="2">
        <v>0.03</v>
      </c>
      <c r="F104" s="1">
        <v>0.06</v>
      </c>
      <c r="G104" s="1">
        <v>4.4999999999999998E-2</v>
      </c>
      <c r="H104" s="1">
        <f>MEDIAN(I104,F104)</f>
        <v>4.4999999999999998E-2</v>
      </c>
      <c r="I104" s="1">
        <v>0.03</v>
      </c>
    </row>
    <row r="105" spans="1:9" x14ac:dyDescent="0.3">
      <c r="A105" t="s">
        <v>123</v>
      </c>
      <c r="B105" s="2">
        <v>0.04</v>
      </c>
      <c r="C105" s="2">
        <v>0.04</v>
      </c>
      <c r="D105" s="2">
        <v>0.04</v>
      </c>
      <c r="E105" s="2">
        <v>0.04</v>
      </c>
      <c r="F105" s="1">
        <v>0.1</v>
      </c>
      <c r="G105" s="1">
        <v>0.04</v>
      </c>
      <c r="H105" s="1">
        <v>0.1</v>
      </c>
      <c r="I105" s="1">
        <v>0.1</v>
      </c>
    </row>
    <row r="106" spans="1:9" x14ac:dyDescent="0.3">
      <c r="A106" t="s">
        <v>124</v>
      </c>
      <c r="B106" s="2">
        <v>0.99</v>
      </c>
      <c r="C106" s="2">
        <v>0.99</v>
      </c>
      <c r="D106" s="2">
        <v>0.99</v>
      </c>
      <c r="E106" s="2">
        <v>0.99</v>
      </c>
      <c r="F106" s="1">
        <v>0.99</v>
      </c>
      <c r="G106" s="1">
        <v>1.395</v>
      </c>
      <c r="H106" s="1">
        <f>MEDIAN(I106,F106)</f>
        <v>1.395</v>
      </c>
      <c r="I106" s="1">
        <v>1.8</v>
      </c>
    </row>
    <row r="107" spans="1:9" x14ac:dyDescent="0.3">
      <c r="A107" t="s">
        <v>126</v>
      </c>
      <c r="B107" s="2">
        <v>0.1</v>
      </c>
      <c r="C107" s="2">
        <v>0.1</v>
      </c>
      <c r="D107" s="2">
        <v>0.1</v>
      </c>
      <c r="E107" s="2">
        <v>0.1</v>
      </c>
      <c r="F107" s="1">
        <v>0.61</v>
      </c>
      <c r="G107" s="1">
        <v>0.1</v>
      </c>
      <c r="H107" s="1">
        <v>0.15</v>
      </c>
      <c r="I107" s="1">
        <v>0.15</v>
      </c>
    </row>
    <row r="108" spans="1:9" x14ac:dyDescent="0.3">
      <c r="A108" t="s">
        <v>127</v>
      </c>
      <c r="B108" s="2">
        <v>0.51</v>
      </c>
      <c r="C108" s="2">
        <v>0.51</v>
      </c>
      <c r="D108" s="2">
        <v>0.51</v>
      </c>
      <c r="E108" s="2">
        <v>0.51</v>
      </c>
      <c r="F108" s="1">
        <v>0.99</v>
      </c>
      <c r="G108" s="1">
        <v>0.65500000000000003</v>
      </c>
      <c r="H108" s="1">
        <f>MEDIAN(F108,I108)</f>
        <v>0.65500000000000003</v>
      </c>
      <c r="I108" s="1">
        <v>0.32</v>
      </c>
    </row>
    <row r="109" spans="1:9" x14ac:dyDescent="0.3">
      <c r="A109" t="s">
        <v>128</v>
      </c>
      <c r="B109" s="2">
        <v>2.04</v>
      </c>
      <c r="C109" s="2">
        <v>2.04</v>
      </c>
      <c r="D109" s="2">
        <v>2.04</v>
      </c>
      <c r="E109" s="2">
        <v>2.04</v>
      </c>
      <c r="F109" s="1">
        <v>0.89</v>
      </c>
      <c r="G109" s="1">
        <v>3.9</v>
      </c>
      <c r="H109" s="1">
        <f>MEDIAN(F109:G109)</f>
        <v>2.395</v>
      </c>
      <c r="I109" s="1">
        <v>2.395</v>
      </c>
    </row>
    <row r="110" spans="1:9" x14ac:dyDescent="0.3">
      <c r="A110" t="s">
        <v>129</v>
      </c>
      <c r="B110" s="2">
        <v>0.47</v>
      </c>
      <c r="C110" s="2">
        <v>0.47</v>
      </c>
      <c r="D110" s="2">
        <v>0.47</v>
      </c>
      <c r="E110" s="2">
        <v>0.47</v>
      </c>
      <c r="F110" s="1">
        <v>0.47</v>
      </c>
      <c r="G110" s="1">
        <v>0.47</v>
      </c>
      <c r="H110" s="1">
        <v>0.47</v>
      </c>
      <c r="I110" s="1">
        <v>0.47</v>
      </c>
    </row>
    <row r="111" spans="1:9" x14ac:dyDescent="0.3">
      <c r="A111" t="s">
        <v>130</v>
      </c>
      <c r="B111" s="2">
        <v>0.15</v>
      </c>
      <c r="C111" s="2">
        <v>0.15</v>
      </c>
      <c r="D111" s="2">
        <v>0.15</v>
      </c>
      <c r="E111" s="2">
        <v>0.15</v>
      </c>
      <c r="F111" s="1">
        <v>0.24</v>
      </c>
      <c r="G111" s="1">
        <f>MEDIAN(F111,I111)</f>
        <v>0.19500000000000001</v>
      </c>
      <c r="H111" s="1">
        <v>0.19500000000000001</v>
      </c>
      <c r="I111" s="1">
        <v>0.15</v>
      </c>
    </row>
    <row r="112" spans="1:9" x14ac:dyDescent="0.3">
      <c r="A112" t="s">
        <v>131</v>
      </c>
      <c r="B112" s="2">
        <v>1.47</v>
      </c>
      <c r="C112" s="2">
        <v>1.47</v>
      </c>
      <c r="D112" s="2">
        <v>1.47</v>
      </c>
      <c r="E112" s="2">
        <v>1.47</v>
      </c>
      <c r="F112" s="1">
        <v>2.4300000000000002</v>
      </c>
      <c r="G112" s="1">
        <v>1.1000000000000001</v>
      </c>
      <c r="H112" s="1">
        <v>1.1000000000000001</v>
      </c>
      <c r="I112" s="1">
        <v>0.78</v>
      </c>
    </row>
    <row r="113" spans="1:9" x14ac:dyDescent="0.3">
      <c r="A113" t="s">
        <v>132</v>
      </c>
      <c r="B113" s="2">
        <v>2.8050000000000002</v>
      </c>
      <c r="C113" s="2">
        <f>MEDIAN(D113:E113)</f>
        <v>2.8049999999999997</v>
      </c>
      <c r="D113" s="2">
        <v>3.26</v>
      </c>
      <c r="E113" s="2">
        <v>2.35</v>
      </c>
      <c r="F113" s="1">
        <v>2.09</v>
      </c>
      <c r="G113" s="1">
        <v>2.63</v>
      </c>
      <c r="H113" s="1">
        <v>4.88</v>
      </c>
      <c r="I113" s="1">
        <v>5.37</v>
      </c>
    </row>
    <row r="114" spans="1:9" x14ac:dyDescent="0.3">
      <c r="A114" t="s">
        <v>133</v>
      </c>
      <c r="B114" s="2">
        <v>0.22</v>
      </c>
      <c r="C114" s="2">
        <v>0.22</v>
      </c>
      <c r="D114" s="2">
        <v>0.22</v>
      </c>
      <c r="E114" s="2">
        <v>0.22</v>
      </c>
      <c r="F114" s="1">
        <v>0.5</v>
      </c>
      <c r="G114" s="1">
        <v>0.5</v>
      </c>
      <c r="H114" s="1">
        <v>0.5</v>
      </c>
      <c r="I114" s="1">
        <v>0.5</v>
      </c>
    </row>
    <row r="115" spans="1:9" x14ac:dyDescent="0.3">
      <c r="A115" t="s">
        <v>134</v>
      </c>
      <c r="B115" s="2">
        <v>0.3</v>
      </c>
      <c r="C115" s="2">
        <v>0.3</v>
      </c>
      <c r="D115" s="2">
        <v>0.3</v>
      </c>
      <c r="E115" s="2">
        <v>0.3</v>
      </c>
      <c r="F115" s="1">
        <v>0.56000000000000005</v>
      </c>
      <c r="G115" s="1">
        <f>MEDIAN(H115:I115)</f>
        <v>0.55999999999999994</v>
      </c>
      <c r="H115" s="1">
        <v>0.42</v>
      </c>
      <c r="I115" s="1">
        <v>0.7</v>
      </c>
    </row>
    <row r="116" spans="1:9" x14ac:dyDescent="0.3">
      <c r="A116" t="s">
        <v>135</v>
      </c>
      <c r="B116" s="2">
        <v>0.14000000000000001</v>
      </c>
      <c r="C116" s="2">
        <v>0.14000000000000001</v>
      </c>
      <c r="D116" s="2">
        <v>0.14000000000000001</v>
      </c>
      <c r="E116" s="2">
        <v>0.14000000000000001</v>
      </c>
      <c r="F116" s="1">
        <v>0.26</v>
      </c>
      <c r="G116" s="1">
        <v>0.26</v>
      </c>
      <c r="H116" s="1">
        <v>0.26</v>
      </c>
      <c r="I116" s="1">
        <v>0.26</v>
      </c>
    </row>
    <row r="117" spans="1:9" x14ac:dyDescent="0.3">
      <c r="A117" t="s">
        <v>136</v>
      </c>
      <c r="B117" s="2">
        <f>MEDIAN(C117:E117)</f>
        <v>0.1</v>
      </c>
      <c r="C117" s="2">
        <v>0.19</v>
      </c>
      <c r="D117" s="2">
        <v>0.03</v>
      </c>
      <c r="E117" s="2">
        <v>0.1</v>
      </c>
      <c r="F117" s="1">
        <f>MEDIAN(G117,I117)</f>
        <v>4.4999999999999998E-2</v>
      </c>
      <c r="G117" s="1">
        <v>0.05</v>
      </c>
      <c r="H117" s="1">
        <v>4.4999999999999998E-2</v>
      </c>
      <c r="I117" s="1">
        <v>0.04</v>
      </c>
    </row>
    <row r="118" spans="1:9" x14ac:dyDescent="0.3">
      <c r="A118" t="s">
        <v>139</v>
      </c>
      <c r="B118" s="2">
        <v>0.66</v>
      </c>
      <c r="C118" s="2">
        <v>0.66</v>
      </c>
      <c r="D118" s="2">
        <v>0.66</v>
      </c>
      <c r="E118" s="2">
        <v>0.66</v>
      </c>
      <c r="F118" s="1">
        <v>0.97</v>
      </c>
      <c r="G118" s="1">
        <v>0.97</v>
      </c>
      <c r="H118" s="1">
        <v>0.97</v>
      </c>
      <c r="I118" s="1">
        <v>0.97</v>
      </c>
    </row>
    <row r="119" spans="1:9" x14ac:dyDescent="0.3">
      <c r="A119" t="s">
        <v>140</v>
      </c>
      <c r="B119" s="2">
        <v>0.35</v>
      </c>
      <c r="C119" s="2">
        <v>0.35</v>
      </c>
      <c r="D119" s="2">
        <v>0.35</v>
      </c>
      <c r="E119" s="2">
        <v>0.35</v>
      </c>
      <c r="F119" s="1">
        <v>0.56999999999999995</v>
      </c>
      <c r="G119" s="1">
        <v>0.56999999999999995</v>
      </c>
      <c r="H119" s="1">
        <v>0.56999999999999995</v>
      </c>
      <c r="I119" s="1">
        <v>0.56999999999999995</v>
      </c>
    </row>
    <row r="120" spans="1:9" x14ac:dyDescent="0.3">
      <c r="A120" t="s">
        <v>141</v>
      </c>
      <c r="B120" s="2">
        <f>MEDIAN(C120:E120)</f>
        <v>0.31</v>
      </c>
      <c r="C120" s="2">
        <v>0.5</v>
      </c>
      <c r="D120" s="2">
        <v>0.31</v>
      </c>
      <c r="E120" s="2">
        <v>0.31</v>
      </c>
      <c r="F120" s="1">
        <v>0.31</v>
      </c>
      <c r="G120" s="1">
        <v>0.31</v>
      </c>
      <c r="H120" s="1">
        <v>0.31</v>
      </c>
      <c r="I120" s="1">
        <v>0.31</v>
      </c>
    </row>
    <row r="121" spans="1:9" x14ac:dyDescent="0.3">
      <c r="A121" t="s">
        <v>142</v>
      </c>
      <c r="B121" s="2">
        <v>0.32</v>
      </c>
      <c r="C121" s="2">
        <v>0.32</v>
      </c>
      <c r="D121" s="2">
        <v>0.32</v>
      </c>
      <c r="E121" s="2">
        <v>0.32</v>
      </c>
      <c r="F121" s="1">
        <v>0.2</v>
      </c>
      <c r="G121" s="1">
        <v>0.2</v>
      </c>
      <c r="H121" s="1">
        <v>0.2</v>
      </c>
      <c r="I121" s="1">
        <v>0.2</v>
      </c>
    </row>
    <row r="122" spans="1:9" x14ac:dyDescent="0.3">
      <c r="A122" t="s">
        <v>144</v>
      </c>
      <c r="B122" s="2">
        <f>MEDIAN(C122:E122)</f>
        <v>0.17</v>
      </c>
      <c r="C122" s="2">
        <v>0.27</v>
      </c>
      <c r="D122" s="2">
        <v>0.17</v>
      </c>
      <c r="E122" s="2">
        <v>0.17</v>
      </c>
      <c r="F122" s="1">
        <v>0.17</v>
      </c>
      <c r="G122" s="1">
        <v>0.17</v>
      </c>
      <c r="H122" s="1">
        <v>0.17</v>
      </c>
      <c r="I122" s="1">
        <v>0.17</v>
      </c>
    </row>
    <row r="123" spans="1:9" x14ac:dyDescent="0.3">
      <c r="A123" t="s">
        <v>145</v>
      </c>
      <c r="B123" s="2">
        <v>0.18</v>
      </c>
      <c r="C123" s="2">
        <v>0.18</v>
      </c>
      <c r="D123" s="2">
        <v>0.18</v>
      </c>
      <c r="E123" s="2">
        <v>0.18</v>
      </c>
      <c r="F123" s="1">
        <v>0.18</v>
      </c>
      <c r="G123" s="1">
        <v>0.18</v>
      </c>
      <c r="H123" s="1">
        <v>0.18</v>
      </c>
      <c r="I123" s="1">
        <v>0.18</v>
      </c>
    </row>
    <row r="124" spans="1:9" x14ac:dyDescent="0.3">
      <c r="A124" t="s">
        <v>146</v>
      </c>
      <c r="B124" s="2">
        <f>MEDIAN(C124,E124)</f>
        <v>0.60000000000000009</v>
      </c>
      <c r="C124" s="2">
        <v>0.67</v>
      </c>
      <c r="D124" s="2">
        <v>0.6</v>
      </c>
      <c r="E124" s="2">
        <v>0.53</v>
      </c>
      <c r="F124" s="1">
        <v>0.91</v>
      </c>
      <c r="G124" s="1">
        <v>0.67</v>
      </c>
      <c r="H124" s="1">
        <f>MEDIAN(G124,I124)</f>
        <v>0.90999999999999992</v>
      </c>
      <c r="I124" s="1">
        <v>1.1499999999999999</v>
      </c>
    </row>
    <row r="125" spans="1:9" x14ac:dyDescent="0.3">
      <c r="A125" t="s">
        <v>148</v>
      </c>
      <c r="B125" s="2">
        <v>0.38</v>
      </c>
      <c r="C125" s="2">
        <v>0.38</v>
      </c>
      <c r="D125" s="2">
        <v>0.38</v>
      </c>
      <c r="E125" s="2">
        <v>0.38</v>
      </c>
      <c r="F125" s="1">
        <f>MEDIAN(G125,I125)</f>
        <v>0.47499999999999998</v>
      </c>
      <c r="G125" s="1">
        <v>0.71</v>
      </c>
      <c r="H125" s="1">
        <v>0.47499999999999998</v>
      </c>
      <c r="I125" s="1">
        <v>0.24</v>
      </c>
    </row>
    <row r="126" spans="1:9" x14ac:dyDescent="0.3">
      <c r="A126" t="s">
        <v>149</v>
      </c>
      <c r="B126" s="2">
        <v>0.28999999999999998</v>
      </c>
      <c r="C126" s="2">
        <v>0.28999999999999998</v>
      </c>
      <c r="D126" s="2">
        <v>0.28999999999999998</v>
      </c>
      <c r="E126" s="2">
        <v>0.28999999999999998</v>
      </c>
      <c r="F126" s="1">
        <v>0.24</v>
      </c>
      <c r="G126" s="1">
        <v>0.19</v>
      </c>
      <c r="H126" s="1">
        <v>0.28999999999999998</v>
      </c>
      <c r="I126" s="1">
        <f>MEDIAN(G126:H126)</f>
        <v>0.24</v>
      </c>
    </row>
    <row r="127" spans="1:9" x14ac:dyDescent="0.3">
      <c r="A127" t="s">
        <v>150</v>
      </c>
      <c r="B127" s="2">
        <v>10.68</v>
      </c>
      <c r="C127" s="2">
        <v>10.68</v>
      </c>
      <c r="D127" s="2">
        <v>10.68</v>
      </c>
      <c r="E127" s="2">
        <v>10.68</v>
      </c>
      <c r="F127" s="1">
        <v>14.35</v>
      </c>
      <c r="G127" s="1">
        <v>14.35</v>
      </c>
      <c r="H127" s="1">
        <v>14.35</v>
      </c>
      <c r="I127" s="1">
        <v>14.35</v>
      </c>
    </row>
    <row r="128" spans="1:9" x14ac:dyDescent="0.3">
      <c r="A128" t="s">
        <v>152</v>
      </c>
      <c r="B128" s="2">
        <v>0.14000000000000001</v>
      </c>
      <c r="C128" s="2">
        <v>0.14000000000000001</v>
      </c>
      <c r="D128" s="2">
        <v>0.14000000000000001</v>
      </c>
      <c r="E128" s="2">
        <v>0.14000000000000001</v>
      </c>
      <c r="F128" s="1">
        <v>0.3</v>
      </c>
      <c r="G128" s="1">
        <v>0.3</v>
      </c>
      <c r="H128" s="1">
        <v>0.3</v>
      </c>
      <c r="I128" s="1">
        <v>0.3</v>
      </c>
    </row>
    <row r="129" spans="1:9" x14ac:dyDescent="0.3">
      <c r="A129" t="s">
        <v>154</v>
      </c>
      <c r="B129" s="2">
        <v>0.55000000000000004</v>
      </c>
      <c r="C129" s="2">
        <v>0.55000000000000004</v>
      </c>
      <c r="D129" s="2">
        <v>0.55000000000000004</v>
      </c>
      <c r="E129" s="2">
        <v>0.55000000000000004</v>
      </c>
      <c r="F129" s="1">
        <f>MEDIAN(G129:I129)</f>
        <v>0.3</v>
      </c>
      <c r="G129" s="1">
        <v>0.3</v>
      </c>
      <c r="H129" s="1">
        <v>0.19</v>
      </c>
      <c r="I129" s="1">
        <v>0.42</v>
      </c>
    </row>
    <row r="130" spans="1:9" x14ac:dyDescent="0.3">
      <c r="A130" t="s">
        <v>158</v>
      </c>
      <c r="B130" s="2">
        <v>0.05</v>
      </c>
      <c r="C130" s="2">
        <v>0.05</v>
      </c>
      <c r="D130" s="2">
        <v>0.05</v>
      </c>
      <c r="E130" s="2">
        <v>0.05</v>
      </c>
      <c r="F130" s="1">
        <v>0.24</v>
      </c>
      <c r="G130" s="1">
        <v>0.24</v>
      </c>
      <c r="H130" s="1">
        <v>0.24</v>
      </c>
      <c r="I130" s="1">
        <v>0.24</v>
      </c>
    </row>
    <row r="131" spans="1:9" x14ac:dyDescent="0.3">
      <c r="A131" t="s">
        <v>159</v>
      </c>
      <c r="B131" s="2">
        <v>0.13</v>
      </c>
      <c r="C131" s="2">
        <v>0.13</v>
      </c>
      <c r="D131" s="2">
        <v>0.13</v>
      </c>
      <c r="E131" s="2">
        <v>0.13</v>
      </c>
      <c r="F131" s="1">
        <v>0.13</v>
      </c>
      <c r="G131" s="1">
        <v>0.13</v>
      </c>
      <c r="H131" s="1">
        <v>0.13</v>
      </c>
      <c r="I131" s="1">
        <v>0.13</v>
      </c>
    </row>
    <row r="132" spans="1:9" x14ac:dyDescent="0.3">
      <c r="A132" t="s">
        <v>160</v>
      </c>
      <c r="B132" s="2">
        <v>0.18</v>
      </c>
      <c r="C132" s="2">
        <v>0.18</v>
      </c>
      <c r="D132" s="2">
        <v>0.18</v>
      </c>
      <c r="E132" s="2">
        <v>0.18</v>
      </c>
      <c r="F132" s="1">
        <v>0.4</v>
      </c>
      <c r="G132" s="1">
        <v>0.4</v>
      </c>
      <c r="H132" s="1">
        <v>0.4</v>
      </c>
      <c r="I132" s="1">
        <v>0.4</v>
      </c>
    </row>
    <row r="133" spans="1:9" x14ac:dyDescent="0.3">
      <c r="A133" t="s">
        <v>161</v>
      </c>
      <c r="B133" s="2">
        <v>0.12</v>
      </c>
      <c r="C133" s="2">
        <v>0.12</v>
      </c>
      <c r="D133" s="2">
        <v>0.12</v>
      </c>
      <c r="E133" s="2">
        <v>0.12</v>
      </c>
      <c r="F133" s="1">
        <v>0.19</v>
      </c>
      <c r="G133" s="1">
        <v>0.19</v>
      </c>
      <c r="H133" s="1">
        <v>0.19</v>
      </c>
      <c r="I133" s="1">
        <v>0.19</v>
      </c>
    </row>
    <row r="134" spans="1:9" x14ac:dyDescent="0.3">
      <c r="A134" t="s">
        <v>162</v>
      </c>
      <c r="B134" s="2">
        <v>0.08</v>
      </c>
      <c r="C134" s="2">
        <f>MEDIAN(D134:E134)</f>
        <v>0.08</v>
      </c>
      <c r="D134" s="2">
        <v>0.05</v>
      </c>
      <c r="E134" s="2">
        <v>0.11</v>
      </c>
      <c r="F134" s="1">
        <v>7.0000000000000007E-2</v>
      </c>
      <c r="G134" s="1">
        <v>7.0000000000000007E-2</v>
      </c>
      <c r="H134" s="1">
        <v>7.0000000000000007E-2</v>
      </c>
      <c r="I134" s="1">
        <v>7.0000000000000007E-2</v>
      </c>
    </row>
    <row r="135" spans="1:9" x14ac:dyDescent="0.3">
      <c r="A135" t="s">
        <v>163</v>
      </c>
      <c r="B135" s="2">
        <v>0.32</v>
      </c>
      <c r="C135" s="2">
        <v>0.32</v>
      </c>
      <c r="D135" s="2">
        <v>0.32</v>
      </c>
      <c r="E135" s="2">
        <v>0.32</v>
      </c>
      <c r="F135" s="1">
        <v>0.44</v>
      </c>
      <c r="G135" s="1">
        <v>0.44</v>
      </c>
      <c r="H135" s="1">
        <v>0.44</v>
      </c>
      <c r="I135" s="1">
        <v>0.44</v>
      </c>
    </row>
    <row r="136" spans="1:9" x14ac:dyDescent="0.3">
      <c r="A136" t="s">
        <v>165</v>
      </c>
      <c r="B136" s="2">
        <v>0.28000000000000003</v>
      </c>
      <c r="C136" s="2">
        <v>0.28000000000000003</v>
      </c>
      <c r="D136" s="2">
        <v>0.28000000000000003</v>
      </c>
      <c r="E136" s="2">
        <v>0.28000000000000003</v>
      </c>
      <c r="F136" s="1">
        <v>0.28000000000000003</v>
      </c>
      <c r="G136" s="1">
        <v>0.28000000000000003</v>
      </c>
      <c r="H136" s="1">
        <v>0.28000000000000003</v>
      </c>
      <c r="I136" s="1">
        <v>0.28000000000000003</v>
      </c>
    </row>
    <row r="137" spans="1:9" x14ac:dyDescent="0.3">
      <c r="A137" t="s">
        <v>166</v>
      </c>
      <c r="B137" s="2">
        <v>1.39</v>
      </c>
      <c r="C137" s="2">
        <f>MEDIAN(D137:E137)</f>
        <v>1.3900000000000001</v>
      </c>
      <c r="D137" s="2">
        <v>0.55000000000000004</v>
      </c>
      <c r="E137" s="2">
        <v>2.23</v>
      </c>
      <c r="F137" s="1">
        <v>0.55000000000000004</v>
      </c>
      <c r="G137" s="1">
        <v>0.55000000000000004</v>
      </c>
      <c r="H137" s="1">
        <v>0.55000000000000004</v>
      </c>
      <c r="I137" s="1">
        <v>0.55000000000000004</v>
      </c>
    </row>
    <row r="138" spans="1:9" x14ac:dyDescent="0.3">
      <c r="A138" t="s">
        <v>167</v>
      </c>
      <c r="B138" s="2">
        <v>0.755</v>
      </c>
      <c r="C138" s="2">
        <f>MEDIAN(D138:E138)</f>
        <v>0.75500000000000012</v>
      </c>
      <c r="D138" s="2">
        <v>0.44</v>
      </c>
      <c r="E138" s="2">
        <v>1.07</v>
      </c>
      <c r="F138" s="1">
        <v>0.44</v>
      </c>
      <c r="G138" s="1">
        <v>0.44</v>
      </c>
      <c r="H138" s="1">
        <v>0.44</v>
      </c>
      <c r="I138" s="1">
        <v>0.44</v>
      </c>
    </row>
    <row r="139" spans="1:9" x14ac:dyDescent="0.3">
      <c r="A139" t="s">
        <v>168</v>
      </c>
      <c r="B139" s="2">
        <v>0.27</v>
      </c>
      <c r="C139" s="2">
        <v>0.27</v>
      </c>
      <c r="D139" s="2">
        <v>0.27</v>
      </c>
      <c r="E139" s="2">
        <v>0.27</v>
      </c>
      <c r="F139" s="1">
        <v>0.43</v>
      </c>
      <c r="G139" s="1">
        <v>0.43</v>
      </c>
      <c r="H139" s="1">
        <v>0.43</v>
      </c>
      <c r="I139" s="1">
        <v>0.43</v>
      </c>
    </row>
    <row r="140" spans="1:9" x14ac:dyDescent="0.3">
      <c r="A140" t="s">
        <v>169</v>
      </c>
      <c r="B140" s="2">
        <v>1.02</v>
      </c>
      <c r="C140" s="2">
        <v>1.02</v>
      </c>
      <c r="D140" s="2">
        <v>1.02</v>
      </c>
      <c r="E140" s="2">
        <v>1.02</v>
      </c>
      <c r="F140" s="1">
        <v>3.1</v>
      </c>
      <c r="G140" s="1">
        <v>3.1</v>
      </c>
      <c r="H140" s="1">
        <v>3.1</v>
      </c>
      <c r="I140" s="1">
        <v>3.1</v>
      </c>
    </row>
    <row r="141" spans="1:9" x14ac:dyDescent="0.3">
      <c r="A141" t="s">
        <v>170</v>
      </c>
      <c r="B141" s="2">
        <v>0.27</v>
      </c>
      <c r="C141" s="2">
        <v>0.27</v>
      </c>
      <c r="D141" s="2">
        <v>0.27</v>
      </c>
      <c r="E141" s="2">
        <v>0.27</v>
      </c>
      <c r="F141" s="1">
        <v>0.62</v>
      </c>
      <c r="G141" s="1">
        <v>0.62</v>
      </c>
      <c r="H141" s="1">
        <v>0.62</v>
      </c>
      <c r="I141" s="1">
        <v>0.62</v>
      </c>
    </row>
    <row r="142" spans="1:9" x14ac:dyDescent="0.3">
      <c r="A142" t="s">
        <v>171</v>
      </c>
      <c r="B142" s="2">
        <v>0.38</v>
      </c>
      <c r="C142" s="2">
        <v>0.38</v>
      </c>
      <c r="D142" s="2">
        <v>0.38</v>
      </c>
      <c r="E142" s="2">
        <v>0.38</v>
      </c>
      <c r="F142" s="1">
        <v>0.61</v>
      </c>
      <c r="G142" s="1">
        <v>0.61</v>
      </c>
      <c r="H142" s="1">
        <v>0.61</v>
      </c>
      <c r="I142" s="1">
        <v>0.61</v>
      </c>
    </row>
  </sheetData>
  <autoFilter ref="A1:I142" xr:uid="{B0986F70-5BA7-4E01-B658-1E43E604437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42D9-1EE2-42FA-8DEF-D34228F92EFB}">
  <dimension ref="A1:H114"/>
  <sheetViews>
    <sheetView zoomScale="120" zoomScaleNormal="120" workbookViewId="0">
      <pane ySplit="1" topLeftCell="A94" activePane="bottomLeft" state="frozen"/>
      <selection pane="bottomLeft" activeCell="A2" sqref="A2:A114"/>
    </sheetView>
  </sheetViews>
  <sheetFormatPr baseColWidth="10" defaultColWidth="11.44140625" defaultRowHeight="14.4" x14ac:dyDescent="0.3"/>
  <cols>
    <col min="1" max="1" width="18.6640625" customWidth="1"/>
    <col min="2" max="5" width="18.6640625" style="2" customWidth="1"/>
    <col min="6" max="8" width="18.6640625" style="1" customWidth="1"/>
  </cols>
  <sheetData>
    <row r="1" spans="1:8" x14ac:dyDescent="0.3">
      <c r="A1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1" t="s">
        <v>3</v>
      </c>
      <c r="G1" s="1" t="s">
        <v>5</v>
      </c>
      <c r="H1" s="1" t="s">
        <v>7</v>
      </c>
    </row>
    <row r="2" spans="1:8" x14ac:dyDescent="0.3">
      <c r="A2" t="s">
        <v>9</v>
      </c>
      <c r="B2" s="2">
        <v>7.35</v>
      </c>
      <c r="C2" s="2">
        <v>8.43</v>
      </c>
      <c r="D2" s="2">
        <v>14.31</v>
      </c>
      <c r="E2" s="2">
        <v>6.4</v>
      </c>
      <c r="F2" s="1">
        <f>MEDIAN(G2:H2)</f>
        <v>11.79</v>
      </c>
      <c r="G2" s="1">
        <v>12.56</v>
      </c>
      <c r="H2" s="1">
        <v>11.02</v>
      </c>
    </row>
    <row r="3" spans="1:8" x14ac:dyDescent="0.3">
      <c r="A3" t="s">
        <v>10</v>
      </c>
      <c r="B3" s="2">
        <v>7.0000000000000007E-2</v>
      </c>
      <c r="C3" s="2">
        <v>0.03</v>
      </c>
      <c r="D3" s="2">
        <v>0.1</v>
      </c>
      <c r="E3" s="2">
        <v>0.28999999999999998</v>
      </c>
      <c r="F3" s="1">
        <v>0.03</v>
      </c>
      <c r="G3" s="1">
        <v>0.15</v>
      </c>
      <c r="H3" s="1">
        <v>0.1</v>
      </c>
    </row>
    <row r="4" spans="1:8" x14ac:dyDescent="0.3">
      <c r="A4" t="s">
        <v>11</v>
      </c>
      <c r="B4" s="2">
        <v>5.22</v>
      </c>
      <c r="C4" s="2">
        <v>5.22</v>
      </c>
      <c r="D4" s="2">
        <v>4.4000000000000004</v>
      </c>
      <c r="E4" s="2">
        <v>3.69</v>
      </c>
      <c r="F4" s="1">
        <v>2.08</v>
      </c>
      <c r="G4" s="1">
        <v>4.4000000000000004</v>
      </c>
      <c r="H4" s="1">
        <v>3.69</v>
      </c>
    </row>
    <row r="5" spans="1:8" x14ac:dyDescent="0.3">
      <c r="A5" t="s">
        <v>12</v>
      </c>
      <c r="B5" s="2">
        <v>0.69</v>
      </c>
      <c r="C5" s="2">
        <v>0.3</v>
      </c>
      <c r="D5" s="2">
        <v>1.0900000000000001</v>
      </c>
      <c r="E5" s="2">
        <f>MEDIAN(B5:D5)</f>
        <v>0.69</v>
      </c>
      <c r="F5" s="1">
        <v>0.79</v>
      </c>
      <c r="G5" s="1">
        <f>MEDIAN(F5,H5)</f>
        <v>0.88500000000000001</v>
      </c>
      <c r="H5" s="1">
        <v>0.98</v>
      </c>
    </row>
    <row r="6" spans="1:8" x14ac:dyDescent="0.3">
      <c r="A6" t="s">
        <v>13</v>
      </c>
      <c r="B6" s="2">
        <v>0.7</v>
      </c>
      <c r="C6" s="2">
        <v>0.7</v>
      </c>
      <c r="D6" s="2">
        <v>0.7</v>
      </c>
      <c r="E6" s="2">
        <v>0.7</v>
      </c>
      <c r="F6" s="1">
        <v>1.21</v>
      </c>
      <c r="G6" s="1">
        <v>0.94</v>
      </c>
      <c r="H6" s="1">
        <v>1.21</v>
      </c>
    </row>
    <row r="7" spans="1:8" x14ac:dyDescent="0.3">
      <c r="A7" t="s">
        <v>14</v>
      </c>
      <c r="B7" s="2">
        <v>0.25</v>
      </c>
      <c r="C7" s="2">
        <v>0.74</v>
      </c>
      <c r="D7" s="2">
        <v>0.74</v>
      </c>
      <c r="E7" s="2">
        <v>0.74</v>
      </c>
      <c r="F7" s="1">
        <v>0.74</v>
      </c>
      <c r="G7" s="1">
        <v>0.74</v>
      </c>
      <c r="H7" s="1">
        <v>0.25</v>
      </c>
    </row>
    <row r="8" spans="1:8" x14ac:dyDescent="0.3">
      <c r="A8" t="s">
        <v>15</v>
      </c>
      <c r="B8" s="2">
        <v>2.87</v>
      </c>
      <c r="C8" s="2">
        <v>0.83</v>
      </c>
      <c r="D8" s="2">
        <v>1.47</v>
      </c>
      <c r="E8" s="2">
        <v>1.59</v>
      </c>
      <c r="F8" s="1">
        <v>0.92</v>
      </c>
      <c r="G8" s="1">
        <v>0.74</v>
      </c>
      <c r="H8" s="1">
        <v>1.35</v>
      </c>
    </row>
    <row r="9" spans="1:8" x14ac:dyDescent="0.3">
      <c r="A9" t="s">
        <v>16</v>
      </c>
      <c r="B9" s="2">
        <v>9.25</v>
      </c>
      <c r="C9" s="2">
        <v>134.97</v>
      </c>
      <c r="D9" s="2">
        <f>MEDIAN(B9:C9,E9)</f>
        <v>12.27</v>
      </c>
      <c r="E9" s="2">
        <v>12.27</v>
      </c>
      <c r="F9" s="1">
        <v>9.25</v>
      </c>
      <c r="G9" s="1">
        <v>1.81</v>
      </c>
      <c r="H9" s="1">
        <v>27.82</v>
      </c>
    </row>
    <row r="10" spans="1:8" x14ac:dyDescent="0.3">
      <c r="A10" t="s">
        <v>17</v>
      </c>
      <c r="B10" s="2">
        <v>0.89</v>
      </c>
      <c r="C10" s="2">
        <v>0.89</v>
      </c>
      <c r="D10" s="2">
        <v>1.05</v>
      </c>
      <c r="E10" s="2">
        <v>0.61</v>
      </c>
      <c r="F10" s="1">
        <v>0.75</v>
      </c>
      <c r="G10" s="1">
        <v>0.89</v>
      </c>
      <c r="H10" s="1">
        <v>0.75</v>
      </c>
    </row>
    <row r="11" spans="1:8" x14ac:dyDescent="0.3">
      <c r="A11" t="s">
        <v>18</v>
      </c>
      <c r="B11" s="2">
        <v>0.35</v>
      </c>
      <c r="C11" s="2">
        <v>0.45</v>
      </c>
      <c r="D11" s="2">
        <v>0.25</v>
      </c>
      <c r="E11" s="2">
        <v>0.82</v>
      </c>
      <c r="F11" s="1">
        <v>0.69</v>
      </c>
      <c r="G11" s="1">
        <v>0.82</v>
      </c>
      <c r="H11" s="1">
        <v>0.35</v>
      </c>
    </row>
    <row r="12" spans="1:8" x14ac:dyDescent="0.3">
      <c r="A12" t="s">
        <v>19</v>
      </c>
      <c r="B12" s="2">
        <v>0.17</v>
      </c>
      <c r="C12" s="2">
        <v>0.08</v>
      </c>
      <c r="D12" s="2">
        <v>0.11</v>
      </c>
      <c r="E12" s="2">
        <v>0.2</v>
      </c>
      <c r="F12" s="1">
        <v>0.05</v>
      </c>
      <c r="G12" s="1">
        <v>0.05</v>
      </c>
      <c r="H12" s="1">
        <v>0.05</v>
      </c>
    </row>
    <row r="13" spans="1:8" x14ac:dyDescent="0.3">
      <c r="A13" t="s">
        <v>20</v>
      </c>
      <c r="B13" s="2">
        <v>7.97</v>
      </c>
      <c r="C13" s="2">
        <v>5.23</v>
      </c>
      <c r="D13" s="2">
        <v>7.97</v>
      </c>
      <c r="E13" s="2">
        <v>11.94</v>
      </c>
      <c r="F13" s="1">
        <v>5.23</v>
      </c>
      <c r="G13" s="1">
        <v>7.97</v>
      </c>
      <c r="H13" s="1">
        <v>7.97</v>
      </c>
    </row>
    <row r="14" spans="1:8" x14ac:dyDescent="0.3">
      <c r="A14" t="s">
        <v>21</v>
      </c>
      <c r="B14" s="2">
        <v>0.16</v>
      </c>
      <c r="C14" s="2">
        <v>0.25</v>
      </c>
      <c r="D14" s="2">
        <v>0.25</v>
      </c>
      <c r="E14" s="2">
        <v>0.3</v>
      </c>
      <c r="F14" s="1">
        <v>0.06</v>
      </c>
      <c r="G14" s="1">
        <v>0.12</v>
      </c>
      <c r="H14" s="1">
        <v>0.35</v>
      </c>
    </row>
    <row r="15" spans="1:8" x14ac:dyDescent="0.3">
      <c r="A15" t="s">
        <v>22</v>
      </c>
      <c r="B15" s="2">
        <v>1.1399999999999999</v>
      </c>
      <c r="C15" s="2">
        <v>1.1399999999999999</v>
      </c>
      <c r="D15" s="2">
        <v>1.1399999999999999</v>
      </c>
      <c r="E15" s="2">
        <v>1.1399999999999999</v>
      </c>
      <c r="F15" s="1">
        <v>0.33</v>
      </c>
      <c r="G15" s="1">
        <v>0.61</v>
      </c>
      <c r="H15" s="1">
        <f>MEDIAN(F15:G15)</f>
        <v>0.47</v>
      </c>
    </row>
    <row r="16" spans="1:8" x14ac:dyDescent="0.3">
      <c r="A16" t="s">
        <v>23</v>
      </c>
      <c r="B16" s="2">
        <v>0.87</v>
      </c>
      <c r="C16" s="2">
        <v>0.41</v>
      </c>
      <c r="D16" s="2">
        <v>0.87</v>
      </c>
      <c r="E16" s="2">
        <v>1</v>
      </c>
      <c r="F16" s="1">
        <v>1.1499999999999999</v>
      </c>
      <c r="G16" s="1">
        <v>1.1499999999999999</v>
      </c>
      <c r="H16" s="1">
        <v>0.74</v>
      </c>
    </row>
    <row r="17" spans="1:8" x14ac:dyDescent="0.3">
      <c r="A17" t="s">
        <v>27</v>
      </c>
      <c r="B17" s="2">
        <v>0.57999999999999996</v>
      </c>
      <c r="C17" s="2">
        <v>0.44</v>
      </c>
      <c r="D17" s="2">
        <v>0.9</v>
      </c>
      <c r="E17" s="2">
        <v>0.57999999999999996</v>
      </c>
      <c r="F17" s="1">
        <v>0.73</v>
      </c>
      <c r="G17" s="1">
        <v>0.9</v>
      </c>
      <c r="H17" s="1">
        <v>0.73</v>
      </c>
    </row>
    <row r="18" spans="1:8" x14ac:dyDescent="0.3">
      <c r="A18" t="s">
        <v>28</v>
      </c>
      <c r="B18" s="2">
        <v>0.3</v>
      </c>
      <c r="C18" s="2">
        <v>0.3</v>
      </c>
      <c r="D18" s="2">
        <v>0.14000000000000001</v>
      </c>
      <c r="E18" s="2">
        <v>0.39</v>
      </c>
      <c r="F18" s="1">
        <f>MEDIAN(G18:H18)</f>
        <v>0.22</v>
      </c>
      <c r="G18" s="1">
        <v>0.3</v>
      </c>
      <c r="H18" s="1">
        <v>0.14000000000000001</v>
      </c>
    </row>
    <row r="19" spans="1:8" x14ac:dyDescent="0.3">
      <c r="A19" t="s">
        <v>29</v>
      </c>
      <c r="B19" s="2">
        <v>0.22</v>
      </c>
      <c r="C19" s="2">
        <v>0.22</v>
      </c>
      <c r="D19" s="2">
        <v>0.22</v>
      </c>
      <c r="E19" s="2">
        <v>0.22</v>
      </c>
      <c r="F19" s="1">
        <v>0.49</v>
      </c>
      <c r="G19" s="1">
        <v>0.49</v>
      </c>
      <c r="H19" s="1">
        <v>0.49</v>
      </c>
    </row>
    <row r="20" spans="1:8" x14ac:dyDescent="0.3">
      <c r="A20" t="s">
        <v>30</v>
      </c>
      <c r="B20" s="2">
        <v>0.45</v>
      </c>
      <c r="C20" s="2">
        <v>0.45</v>
      </c>
      <c r="D20" s="2">
        <v>0.16</v>
      </c>
      <c r="E20" s="2">
        <v>0.56000000000000005</v>
      </c>
      <c r="F20" s="1">
        <v>0.56000000000000005</v>
      </c>
      <c r="G20" s="1">
        <v>0.81</v>
      </c>
      <c r="H20" s="1">
        <v>0.16</v>
      </c>
    </row>
    <row r="21" spans="1:8" x14ac:dyDescent="0.3">
      <c r="A21" t="s">
        <v>31</v>
      </c>
      <c r="B21" s="2">
        <v>0.38</v>
      </c>
      <c r="C21" s="2">
        <v>0.38</v>
      </c>
      <c r="D21" s="2">
        <v>0.53</v>
      </c>
      <c r="E21" s="2">
        <v>0.38</v>
      </c>
      <c r="F21" s="1">
        <v>0.38</v>
      </c>
      <c r="G21" s="1">
        <v>0.38</v>
      </c>
      <c r="H21" s="1">
        <v>0.38</v>
      </c>
    </row>
    <row r="22" spans="1:8" x14ac:dyDescent="0.3">
      <c r="A22" t="s">
        <v>33</v>
      </c>
      <c r="B22" s="2">
        <v>2.72</v>
      </c>
      <c r="C22" s="2">
        <v>2.72</v>
      </c>
      <c r="D22" s="2">
        <v>2.72</v>
      </c>
      <c r="E22" s="2">
        <v>2.72</v>
      </c>
      <c r="F22" s="1">
        <v>8.98</v>
      </c>
      <c r="G22" s="1">
        <v>2.72</v>
      </c>
      <c r="H22" s="1">
        <f>MEDIAN(F22:G22)</f>
        <v>5.85</v>
      </c>
    </row>
    <row r="23" spans="1:8" x14ac:dyDescent="0.3">
      <c r="A23" t="s">
        <v>34</v>
      </c>
      <c r="B23" s="2">
        <v>0.68</v>
      </c>
      <c r="C23" s="2">
        <v>0.54</v>
      </c>
      <c r="D23" s="2">
        <v>0.83</v>
      </c>
      <c r="E23" s="2">
        <v>0.54</v>
      </c>
      <c r="F23" s="1">
        <v>0.68</v>
      </c>
      <c r="G23" s="1">
        <v>0.41</v>
      </c>
      <c r="H23" s="1">
        <v>0.41</v>
      </c>
    </row>
    <row r="24" spans="1:8" x14ac:dyDescent="0.3">
      <c r="A24" t="s">
        <v>36</v>
      </c>
      <c r="B24" s="2">
        <v>0.14000000000000001</v>
      </c>
      <c r="C24" s="2">
        <v>0.06</v>
      </c>
      <c r="D24" s="2">
        <f>MEDIAN(C24,E24)</f>
        <v>0.14000000000000001</v>
      </c>
      <c r="E24" s="2">
        <v>0.22</v>
      </c>
      <c r="F24" s="1">
        <v>0.19</v>
      </c>
      <c r="G24" s="1">
        <v>0.26</v>
      </c>
      <c r="H24" s="1">
        <v>0.09</v>
      </c>
    </row>
    <row r="25" spans="1:8" x14ac:dyDescent="0.3">
      <c r="A25" t="s">
        <v>37</v>
      </c>
      <c r="B25" s="2">
        <v>0.34</v>
      </c>
      <c r="C25" s="2">
        <v>0.34</v>
      </c>
      <c r="D25" s="2">
        <v>0.34</v>
      </c>
      <c r="E25" s="2">
        <v>0.34</v>
      </c>
      <c r="F25" s="1">
        <v>0.22</v>
      </c>
      <c r="G25" s="1">
        <v>0.22</v>
      </c>
      <c r="H25" s="1">
        <v>0.22</v>
      </c>
    </row>
    <row r="26" spans="1:8" x14ac:dyDescent="0.3">
      <c r="A26" t="s">
        <v>38</v>
      </c>
      <c r="B26" s="2">
        <f>MEDIAN(C26:E26)</f>
        <v>1.1499999999999999</v>
      </c>
      <c r="C26" s="2">
        <v>1.1499999999999999</v>
      </c>
      <c r="D26" s="2">
        <v>1.6</v>
      </c>
      <c r="E26" s="2">
        <v>0.77</v>
      </c>
      <c r="F26" s="1">
        <v>2.81</v>
      </c>
      <c r="G26" s="1">
        <v>2.81</v>
      </c>
      <c r="H26" s="1">
        <v>2.81</v>
      </c>
    </row>
    <row r="27" spans="1:8" x14ac:dyDescent="0.3">
      <c r="A27" t="s">
        <v>39</v>
      </c>
      <c r="B27" s="2">
        <v>0.19</v>
      </c>
      <c r="C27" s="2">
        <v>0.13</v>
      </c>
      <c r="D27" s="2">
        <v>0.34</v>
      </c>
      <c r="E27" s="2">
        <v>0.61</v>
      </c>
      <c r="F27" s="1">
        <f>MEDIAN(G27:H27)</f>
        <v>0.2</v>
      </c>
      <c r="G27" s="1">
        <v>0.13</v>
      </c>
      <c r="H27" s="1">
        <v>0.27</v>
      </c>
    </row>
    <row r="28" spans="1:8" x14ac:dyDescent="0.3">
      <c r="A28" t="s">
        <v>40</v>
      </c>
      <c r="B28" s="2">
        <v>0.16</v>
      </c>
      <c r="C28" s="2">
        <v>0.16</v>
      </c>
      <c r="D28" s="2">
        <v>0.25</v>
      </c>
      <c r="E28" s="2">
        <v>0.16</v>
      </c>
      <c r="F28" s="1">
        <v>0.16</v>
      </c>
      <c r="G28" s="1">
        <v>0.16</v>
      </c>
      <c r="H28" s="1">
        <v>0.16</v>
      </c>
    </row>
    <row r="29" spans="1:8" x14ac:dyDescent="0.3">
      <c r="A29" t="s">
        <v>42</v>
      </c>
      <c r="B29" s="2">
        <v>0.14000000000000001</v>
      </c>
      <c r="C29" s="2">
        <v>0.14000000000000001</v>
      </c>
      <c r="D29" s="2">
        <v>0.14000000000000001</v>
      </c>
      <c r="E29" s="2">
        <v>0.14000000000000001</v>
      </c>
      <c r="F29" s="1">
        <v>0.09</v>
      </c>
      <c r="G29" s="1">
        <v>0.09</v>
      </c>
      <c r="H29" s="1">
        <v>0.09</v>
      </c>
    </row>
    <row r="30" spans="1:8" x14ac:dyDescent="0.3">
      <c r="A30" t="s">
        <v>43</v>
      </c>
      <c r="B30" s="2">
        <v>0.36</v>
      </c>
      <c r="C30" s="2">
        <v>0.36</v>
      </c>
      <c r="D30" s="2">
        <v>0.36</v>
      </c>
      <c r="E30" s="2">
        <v>0.47</v>
      </c>
      <c r="F30" s="1">
        <v>0.17</v>
      </c>
      <c r="G30" s="1">
        <v>0.36</v>
      </c>
      <c r="H30" s="1">
        <v>0.17</v>
      </c>
    </row>
    <row r="31" spans="1:8" x14ac:dyDescent="0.3">
      <c r="A31" t="s">
        <v>44</v>
      </c>
      <c r="B31" s="2">
        <v>0.05</v>
      </c>
      <c r="C31" s="2">
        <v>0.04</v>
      </c>
      <c r="D31" s="2">
        <v>0.04</v>
      </c>
      <c r="E31" s="2">
        <v>0.03</v>
      </c>
      <c r="F31" s="1">
        <v>0.03</v>
      </c>
      <c r="G31" s="1">
        <v>0.03</v>
      </c>
      <c r="H31" s="1">
        <v>0.03</v>
      </c>
    </row>
    <row r="32" spans="1:8" x14ac:dyDescent="0.3">
      <c r="A32" t="s">
        <v>45</v>
      </c>
      <c r="B32" s="2">
        <v>1.49</v>
      </c>
      <c r="C32" s="2">
        <f>MEDIAN(B32,D32)</f>
        <v>1.37</v>
      </c>
      <c r="D32" s="2">
        <v>1.25</v>
      </c>
      <c r="E32" s="2">
        <v>1.37</v>
      </c>
      <c r="F32" s="1">
        <v>0.84</v>
      </c>
      <c r="G32" s="1">
        <v>0.84</v>
      </c>
      <c r="H32" s="1">
        <v>0.84</v>
      </c>
    </row>
    <row r="33" spans="1:8" x14ac:dyDescent="0.3">
      <c r="A33" t="s">
        <v>46</v>
      </c>
      <c r="B33" s="2">
        <v>0.35</v>
      </c>
      <c r="C33" s="2">
        <v>0.13</v>
      </c>
      <c r="D33" s="2">
        <v>0.44</v>
      </c>
      <c r="E33" s="2">
        <v>0.27</v>
      </c>
      <c r="F33" s="1">
        <v>0.2</v>
      </c>
      <c r="G33" s="1">
        <v>0.13</v>
      </c>
      <c r="H33" s="1">
        <v>0.2</v>
      </c>
    </row>
    <row r="34" spans="1:8" x14ac:dyDescent="0.3">
      <c r="A34" t="s">
        <v>47</v>
      </c>
      <c r="B34" s="2">
        <v>0.41</v>
      </c>
      <c r="C34" s="2">
        <v>0.41</v>
      </c>
      <c r="D34" s="2">
        <v>0.41</v>
      </c>
      <c r="E34" s="2">
        <v>0.41</v>
      </c>
      <c r="F34" s="1">
        <v>0.26</v>
      </c>
      <c r="G34" s="1">
        <v>0.26</v>
      </c>
      <c r="H34" s="1">
        <v>0.26</v>
      </c>
    </row>
    <row r="35" spans="1:8" x14ac:dyDescent="0.3">
      <c r="A35" t="s">
        <v>50</v>
      </c>
      <c r="B35" s="2">
        <v>0.22</v>
      </c>
      <c r="C35" s="2">
        <v>0.3</v>
      </c>
      <c r="D35" s="2">
        <v>0.3</v>
      </c>
      <c r="E35" s="2">
        <v>0.39</v>
      </c>
      <c r="F35" s="1">
        <v>0.22</v>
      </c>
      <c r="G35" s="1">
        <v>0.14000000000000001</v>
      </c>
      <c r="H35" s="1">
        <v>0.69</v>
      </c>
    </row>
    <row r="36" spans="1:8" x14ac:dyDescent="0.3">
      <c r="A36" t="s">
        <v>52</v>
      </c>
      <c r="B36" s="2">
        <v>0.03</v>
      </c>
      <c r="C36" s="2">
        <v>0.06</v>
      </c>
      <c r="D36" s="2">
        <v>0.03</v>
      </c>
      <c r="E36" s="2">
        <v>0.03</v>
      </c>
      <c r="F36" s="1">
        <v>0.03</v>
      </c>
      <c r="G36" s="1">
        <v>0.06</v>
      </c>
      <c r="H36" s="1">
        <f>MEDIAN(F36:G36)</f>
        <v>4.4999999999999998E-2</v>
      </c>
    </row>
    <row r="37" spans="1:8" x14ac:dyDescent="0.3">
      <c r="A37" t="s">
        <v>53</v>
      </c>
      <c r="B37" s="2">
        <v>0.19</v>
      </c>
      <c r="C37" s="2">
        <v>0.19</v>
      </c>
      <c r="D37" s="2">
        <v>0.19</v>
      </c>
      <c r="E37" s="2">
        <v>0.19</v>
      </c>
      <c r="F37" s="1">
        <f>MEDIAN(G37:H37)</f>
        <v>0.14000000000000001</v>
      </c>
      <c r="G37" s="1">
        <v>0.09</v>
      </c>
      <c r="H37" s="1">
        <v>0.19</v>
      </c>
    </row>
    <row r="38" spans="1:8" x14ac:dyDescent="0.3">
      <c r="A38" t="s">
        <v>55</v>
      </c>
      <c r="B38" s="2">
        <v>0.44</v>
      </c>
      <c r="C38" s="2">
        <f>MEDIAN(D38:E38)</f>
        <v>0.43999999999999995</v>
      </c>
      <c r="D38" s="2">
        <v>0.19</v>
      </c>
      <c r="E38" s="2">
        <v>0.69</v>
      </c>
      <c r="F38" s="1">
        <v>0.3</v>
      </c>
      <c r="G38" s="1">
        <v>0.3</v>
      </c>
      <c r="H38" s="1">
        <v>0.3</v>
      </c>
    </row>
    <row r="39" spans="1:8" x14ac:dyDescent="0.3">
      <c r="A39" t="s">
        <v>56</v>
      </c>
      <c r="B39" s="2">
        <v>1.08</v>
      </c>
      <c r="C39" s="2">
        <v>1.08</v>
      </c>
      <c r="D39" s="2">
        <v>1.08</v>
      </c>
      <c r="E39" s="2">
        <v>1.08</v>
      </c>
      <c r="F39" s="1">
        <v>0.63</v>
      </c>
      <c r="G39" s="1">
        <v>0.63</v>
      </c>
      <c r="H39" s="1">
        <v>0.63</v>
      </c>
    </row>
    <row r="40" spans="1:8" x14ac:dyDescent="0.3">
      <c r="A40" t="s">
        <v>57</v>
      </c>
      <c r="B40" s="2">
        <v>7.0000000000000007E-2</v>
      </c>
      <c r="C40" s="2">
        <f>MEDIAN(B40,D40)</f>
        <v>6.0000000000000005E-2</v>
      </c>
      <c r="D40" s="2">
        <v>0.05</v>
      </c>
      <c r="E40" s="2">
        <v>0.06</v>
      </c>
      <c r="F40" s="1">
        <v>0.05</v>
      </c>
      <c r="G40" s="1">
        <f>MEDIAN(F40,H40)</f>
        <v>8.4999999999999992E-2</v>
      </c>
      <c r="H40" s="1">
        <v>0.12</v>
      </c>
    </row>
    <row r="41" spans="1:8" x14ac:dyDescent="0.3">
      <c r="A41" t="s">
        <v>58</v>
      </c>
      <c r="B41" s="2">
        <v>0.22</v>
      </c>
      <c r="C41" s="2">
        <v>0.22</v>
      </c>
      <c r="D41" s="2">
        <v>0.22</v>
      </c>
      <c r="E41" s="2">
        <v>0.22</v>
      </c>
      <c r="F41" s="1">
        <v>0.8</v>
      </c>
      <c r="G41" s="1">
        <f>MEDIAN(F41,H41)</f>
        <v>0.55000000000000004</v>
      </c>
      <c r="H41" s="1">
        <v>0.3</v>
      </c>
    </row>
    <row r="42" spans="1:8" x14ac:dyDescent="0.3">
      <c r="A42" t="s">
        <v>59</v>
      </c>
      <c r="B42" s="2">
        <v>0.15</v>
      </c>
      <c r="C42" s="2">
        <f>MEDIAN(D42:E42)</f>
        <v>0.15000000000000002</v>
      </c>
      <c r="D42" s="2">
        <v>0.1</v>
      </c>
      <c r="E42" s="2">
        <v>0.2</v>
      </c>
      <c r="F42" s="1">
        <v>0.15</v>
      </c>
      <c r="G42" s="1">
        <v>0.26</v>
      </c>
      <c r="H42" s="1">
        <f>MEDIAN(F42:G42)</f>
        <v>0.20500000000000002</v>
      </c>
    </row>
    <row r="43" spans="1:8" x14ac:dyDescent="0.3">
      <c r="A43" t="s">
        <v>60</v>
      </c>
      <c r="B43" s="2">
        <v>0.62</v>
      </c>
      <c r="C43" s="2">
        <v>0.23</v>
      </c>
      <c r="D43" s="2">
        <v>0.62</v>
      </c>
      <c r="E43" s="2">
        <v>0.41</v>
      </c>
      <c r="F43" s="1">
        <v>0.41</v>
      </c>
      <c r="G43" s="1">
        <v>0.52</v>
      </c>
      <c r="H43" s="1">
        <v>0.15</v>
      </c>
    </row>
    <row r="44" spans="1:8" x14ac:dyDescent="0.3">
      <c r="A44" t="s">
        <v>61</v>
      </c>
      <c r="B44" s="2">
        <v>0.32</v>
      </c>
      <c r="C44" s="2">
        <f>MEDIAN(D44:E44,B44)</f>
        <v>0.08</v>
      </c>
      <c r="D44" s="2">
        <v>0.08</v>
      </c>
      <c r="E44" s="2">
        <v>0.08</v>
      </c>
      <c r="F44" s="1">
        <v>0.08</v>
      </c>
      <c r="G44" s="1">
        <v>0.08</v>
      </c>
      <c r="H44" s="1">
        <v>0.08</v>
      </c>
    </row>
    <row r="45" spans="1:8" x14ac:dyDescent="0.3">
      <c r="A45" t="s">
        <v>63</v>
      </c>
      <c r="B45" s="2">
        <v>0.34</v>
      </c>
      <c r="C45" s="2">
        <f>MEDIAN(B45,D45)</f>
        <v>0.39</v>
      </c>
      <c r="D45" s="2">
        <v>0.44</v>
      </c>
      <c r="E45" s="2">
        <v>0.39</v>
      </c>
      <c r="F45" s="1">
        <v>0.24</v>
      </c>
      <c r="G45" s="1">
        <f>MEDIAN(F45,H45)</f>
        <v>0.29000000000000004</v>
      </c>
      <c r="H45" s="1">
        <v>0.34</v>
      </c>
    </row>
    <row r="46" spans="1:8" x14ac:dyDescent="0.3">
      <c r="A46" t="s">
        <v>64</v>
      </c>
      <c r="B46" s="2">
        <v>0.34</v>
      </c>
      <c r="C46" s="2">
        <v>0.34</v>
      </c>
      <c r="D46" s="2">
        <v>0.34</v>
      </c>
      <c r="E46" s="2">
        <v>0.34</v>
      </c>
      <c r="F46" s="1">
        <v>0.63</v>
      </c>
      <c r="G46" s="1">
        <v>0.34</v>
      </c>
      <c r="H46" s="1">
        <f>MEDIAN(F46:G46)</f>
        <v>0.48499999999999999</v>
      </c>
    </row>
    <row r="47" spans="1:8" x14ac:dyDescent="0.3">
      <c r="A47" t="s">
        <v>67</v>
      </c>
      <c r="B47" s="2">
        <v>0.75</v>
      </c>
      <c r="C47" s="2">
        <v>0.75</v>
      </c>
      <c r="D47" s="2">
        <v>0.75</v>
      </c>
      <c r="E47" s="2">
        <v>0.75</v>
      </c>
      <c r="F47" s="1">
        <v>0.32</v>
      </c>
      <c r="G47" s="1">
        <v>0.32</v>
      </c>
      <c r="H47" s="1">
        <v>0.32</v>
      </c>
    </row>
    <row r="48" spans="1:8" x14ac:dyDescent="0.3">
      <c r="A48" t="s">
        <v>68</v>
      </c>
      <c r="B48" s="2">
        <v>0.08</v>
      </c>
      <c r="C48" s="2">
        <v>0.08</v>
      </c>
      <c r="D48" s="2">
        <v>0.08</v>
      </c>
      <c r="E48" s="2">
        <v>0.08</v>
      </c>
      <c r="F48" s="1">
        <v>0.05</v>
      </c>
      <c r="G48" s="1">
        <v>0.05</v>
      </c>
      <c r="H48" s="1">
        <v>0.05</v>
      </c>
    </row>
    <row r="49" spans="1:8" x14ac:dyDescent="0.3">
      <c r="A49" t="s">
        <v>69</v>
      </c>
      <c r="B49" s="2">
        <v>0.17</v>
      </c>
      <c r="C49" s="2">
        <v>0.17</v>
      </c>
      <c r="D49" s="2">
        <v>0.19</v>
      </c>
      <c r="E49" s="2">
        <v>0.04</v>
      </c>
      <c r="F49" s="1">
        <f>MEDIAN(G49:H49)</f>
        <v>0.10500000000000001</v>
      </c>
      <c r="G49" s="1">
        <v>7.0000000000000007E-2</v>
      </c>
      <c r="H49" s="1">
        <v>0.14000000000000001</v>
      </c>
    </row>
    <row r="50" spans="1:8" x14ac:dyDescent="0.3">
      <c r="A50" t="s">
        <v>73</v>
      </c>
      <c r="B50" s="2">
        <v>2.52</v>
      </c>
      <c r="C50" s="2">
        <v>1.94</v>
      </c>
      <c r="D50" s="2">
        <v>1.05</v>
      </c>
      <c r="E50" s="2">
        <v>1.94</v>
      </c>
      <c r="F50" s="1">
        <f>MEDIAN(G50:H50)</f>
        <v>1.4950000000000001</v>
      </c>
      <c r="G50" s="1">
        <v>1.94</v>
      </c>
      <c r="H50" s="1">
        <v>1.05</v>
      </c>
    </row>
    <row r="51" spans="1:8" x14ac:dyDescent="0.3">
      <c r="A51" t="s">
        <v>74</v>
      </c>
      <c r="B51" s="2">
        <v>0.11</v>
      </c>
      <c r="C51" s="2">
        <v>0.11</v>
      </c>
      <c r="D51" s="2">
        <v>0.16</v>
      </c>
      <c r="E51" s="2">
        <v>0.16</v>
      </c>
      <c r="F51" s="1">
        <v>0.11</v>
      </c>
      <c r="G51" s="1">
        <v>0.11</v>
      </c>
      <c r="H51" s="1">
        <v>0.11</v>
      </c>
    </row>
    <row r="52" spans="1:8" x14ac:dyDescent="0.3">
      <c r="A52" t="s">
        <v>76</v>
      </c>
      <c r="B52" s="2">
        <v>3.06</v>
      </c>
      <c r="C52" s="2">
        <v>1.54</v>
      </c>
      <c r="D52" s="2">
        <v>3.06</v>
      </c>
      <c r="E52" s="2">
        <v>1.54</v>
      </c>
      <c r="F52" s="1">
        <v>1.54</v>
      </c>
      <c r="G52" s="1">
        <v>1.54</v>
      </c>
      <c r="H52" s="1">
        <v>1.54</v>
      </c>
    </row>
    <row r="53" spans="1:8" x14ac:dyDescent="0.3">
      <c r="A53" t="s">
        <v>78</v>
      </c>
      <c r="B53" s="2">
        <v>1.97</v>
      </c>
      <c r="C53" s="2">
        <v>1.97</v>
      </c>
      <c r="D53" s="2">
        <v>1.97</v>
      </c>
      <c r="E53" s="2">
        <v>1.97</v>
      </c>
      <c r="F53" s="1">
        <v>1.06</v>
      </c>
      <c r="G53" s="1">
        <v>1.06</v>
      </c>
      <c r="H53" s="1">
        <v>1.06</v>
      </c>
    </row>
    <row r="54" spans="1:8" x14ac:dyDescent="0.3">
      <c r="A54" t="s">
        <v>80</v>
      </c>
      <c r="B54" s="2">
        <v>0.32</v>
      </c>
      <c r="C54" s="2">
        <v>0.32</v>
      </c>
      <c r="D54" s="2">
        <v>0.32</v>
      </c>
      <c r="E54" s="2">
        <v>0.32</v>
      </c>
      <c r="F54" s="1">
        <v>0.2</v>
      </c>
      <c r="G54" s="1">
        <v>0.2</v>
      </c>
      <c r="H54" s="1">
        <v>0.2</v>
      </c>
    </row>
    <row r="55" spans="1:8" x14ac:dyDescent="0.3">
      <c r="A55" t="s">
        <v>81</v>
      </c>
      <c r="B55" s="2">
        <v>0.24</v>
      </c>
      <c r="C55" s="2">
        <f>MEDIAN(D55:E55)</f>
        <v>0.24</v>
      </c>
      <c r="D55" s="2">
        <v>0.28999999999999998</v>
      </c>
      <c r="E55" s="2">
        <v>0.19</v>
      </c>
      <c r="F55" s="1">
        <v>0.19</v>
      </c>
      <c r="G55" s="1">
        <v>0.19</v>
      </c>
      <c r="H55" s="1">
        <v>0.19</v>
      </c>
    </row>
    <row r="56" spans="1:8" x14ac:dyDescent="0.3">
      <c r="A56" t="s">
        <v>84</v>
      </c>
      <c r="B56" s="2">
        <v>0.25</v>
      </c>
      <c r="C56" s="2">
        <v>0.25</v>
      </c>
      <c r="D56" s="2">
        <v>0.25</v>
      </c>
      <c r="E56" s="2">
        <v>0.25</v>
      </c>
      <c r="F56" s="1">
        <v>0.25</v>
      </c>
      <c r="G56" s="1">
        <f>MEDIAN(F56,H56)</f>
        <v>0.59000000000000008</v>
      </c>
      <c r="H56" s="1">
        <v>0.93</v>
      </c>
    </row>
    <row r="57" spans="1:8" x14ac:dyDescent="0.3">
      <c r="A57" t="s">
        <v>86</v>
      </c>
      <c r="B57" s="2">
        <v>0.48</v>
      </c>
      <c r="C57" s="2">
        <f>MEDIAN(B57,E57)</f>
        <v>0.3</v>
      </c>
      <c r="D57" s="2">
        <v>0.3</v>
      </c>
      <c r="E57" s="2">
        <v>0.12</v>
      </c>
      <c r="F57" s="1">
        <v>0.17</v>
      </c>
      <c r="G57" s="1">
        <v>0.17</v>
      </c>
      <c r="H57" s="1">
        <v>0.17</v>
      </c>
    </row>
    <row r="58" spans="1:8" x14ac:dyDescent="0.3">
      <c r="A58" t="s">
        <v>87</v>
      </c>
      <c r="B58" s="2">
        <v>2.21</v>
      </c>
      <c r="C58" s="2">
        <v>0.4</v>
      </c>
      <c r="D58" s="2">
        <f>MEDIAN(B58:C58)</f>
        <v>1.3050000000000002</v>
      </c>
      <c r="E58" s="2">
        <v>1.3049999999999999</v>
      </c>
      <c r="F58" s="1">
        <v>0.4</v>
      </c>
      <c r="G58" s="1">
        <v>0.4</v>
      </c>
      <c r="H58" s="1">
        <v>0.4</v>
      </c>
    </row>
    <row r="59" spans="1:8" x14ac:dyDescent="0.3">
      <c r="A59" t="s">
        <v>88</v>
      </c>
      <c r="B59" s="2">
        <v>0.75</v>
      </c>
      <c r="C59" s="2">
        <v>0.23</v>
      </c>
      <c r="D59" s="2">
        <v>0.15</v>
      </c>
      <c r="E59" s="2">
        <v>0.23</v>
      </c>
      <c r="F59" s="1">
        <v>0.15</v>
      </c>
      <c r="G59" s="1">
        <v>0.23</v>
      </c>
      <c r="H59" s="1">
        <f>MEDIAN(F59:G59)</f>
        <v>0.19</v>
      </c>
    </row>
    <row r="60" spans="1:8" x14ac:dyDescent="0.3">
      <c r="A60" t="s">
        <v>90</v>
      </c>
      <c r="B60" s="2">
        <v>0.84</v>
      </c>
      <c r="C60" s="2">
        <f>MEDIAN(B60,E60)</f>
        <v>1.0449999999999999</v>
      </c>
      <c r="D60" s="2">
        <v>1.0449999999999999</v>
      </c>
      <c r="E60" s="2">
        <v>1.25</v>
      </c>
      <c r="F60" s="1">
        <v>0.84</v>
      </c>
      <c r="G60" s="1">
        <v>0.84</v>
      </c>
      <c r="H60" s="1">
        <v>0.84</v>
      </c>
    </row>
    <row r="61" spans="1:8" x14ac:dyDescent="0.3">
      <c r="A61" t="s">
        <v>92</v>
      </c>
      <c r="B61" s="2">
        <v>0.18</v>
      </c>
      <c r="C61" s="2">
        <v>0.18</v>
      </c>
      <c r="D61" s="2">
        <v>0.18</v>
      </c>
      <c r="E61" s="2">
        <v>0.18</v>
      </c>
      <c r="F61" s="1">
        <v>0.27</v>
      </c>
      <c r="G61" s="1">
        <v>0.27</v>
      </c>
      <c r="H61" s="1">
        <v>0.27</v>
      </c>
    </row>
    <row r="62" spans="1:8" x14ac:dyDescent="0.3">
      <c r="A62" t="s">
        <v>93</v>
      </c>
      <c r="B62" s="2">
        <v>0.71</v>
      </c>
      <c r="C62" s="2">
        <v>0.38</v>
      </c>
      <c r="D62" s="2">
        <v>0.24</v>
      </c>
      <c r="E62" s="2">
        <v>0.24</v>
      </c>
      <c r="F62" s="1">
        <v>0.9</v>
      </c>
      <c r="G62" s="1">
        <v>0.38</v>
      </c>
      <c r="H62" s="1">
        <v>0.24</v>
      </c>
    </row>
    <row r="63" spans="1:8" x14ac:dyDescent="0.3">
      <c r="A63" t="s">
        <v>95</v>
      </c>
      <c r="B63" s="2">
        <v>0.57999999999999996</v>
      </c>
      <c r="C63" s="2">
        <v>0.7</v>
      </c>
      <c r="D63" s="2">
        <v>0.26</v>
      </c>
      <c r="E63" s="2">
        <v>0.26</v>
      </c>
      <c r="F63" s="1">
        <v>0.26</v>
      </c>
      <c r="G63" s="1">
        <v>0.26</v>
      </c>
      <c r="H63" s="1">
        <v>0.26</v>
      </c>
    </row>
    <row r="64" spans="1:8" x14ac:dyDescent="0.3">
      <c r="A64" t="s">
        <v>97</v>
      </c>
      <c r="B64" s="2">
        <v>0.12</v>
      </c>
      <c r="C64" s="2">
        <v>0.08</v>
      </c>
      <c r="D64" s="2">
        <v>0.12</v>
      </c>
      <c r="E64" s="2">
        <v>0.12</v>
      </c>
      <c r="F64" s="1">
        <v>0.12</v>
      </c>
      <c r="G64" s="1">
        <v>0.08</v>
      </c>
      <c r="H64" s="1">
        <v>0.08</v>
      </c>
    </row>
    <row r="65" spans="1:8" x14ac:dyDescent="0.3">
      <c r="A65" t="s">
        <v>98</v>
      </c>
      <c r="B65" s="2">
        <v>1.33</v>
      </c>
      <c r="C65" s="2">
        <v>0.28000000000000003</v>
      </c>
      <c r="D65" s="2">
        <v>0.63</v>
      </c>
      <c r="E65" s="2">
        <v>0.28000000000000003</v>
      </c>
      <c r="F65" s="1">
        <v>0.43</v>
      </c>
      <c r="G65" s="1">
        <f>MEDIAN(F65,H65)</f>
        <v>0.55000000000000004</v>
      </c>
      <c r="H65" s="1">
        <v>0.67</v>
      </c>
    </row>
    <row r="66" spans="1:8" x14ac:dyDescent="0.3">
      <c r="A66" t="s">
        <v>99</v>
      </c>
      <c r="B66" s="2">
        <v>0.61</v>
      </c>
      <c r="C66" s="2">
        <v>0.61</v>
      </c>
      <c r="D66" s="2">
        <v>0.61</v>
      </c>
      <c r="E66" s="2">
        <v>0.81</v>
      </c>
      <c r="F66" s="1">
        <v>0.27</v>
      </c>
      <c r="G66" s="1">
        <v>0.27</v>
      </c>
      <c r="H66" s="1">
        <v>0.27</v>
      </c>
    </row>
    <row r="67" spans="1:8" x14ac:dyDescent="0.3">
      <c r="A67" t="s">
        <v>100</v>
      </c>
      <c r="B67" s="2">
        <v>0.06</v>
      </c>
      <c r="C67" s="2">
        <v>0.06</v>
      </c>
      <c r="D67" s="2">
        <v>0.06</v>
      </c>
      <c r="E67" s="2">
        <v>0.06</v>
      </c>
      <c r="F67" s="1">
        <v>0.12</v>
      </c>
      <c r="G67" s="1">
        <v>0.12</v>
      </c>
      <c r="H67" s="1">
        <v>0.12</v>
      </c>
    </row>
    <row r="68" spans="1:8" x14ac:dyDescent="0.3">
      <c r="A68" t="s">
        <v>103</v>
      </c>
      <c r="B68" s="2">
        <v>0.82</v>
      </c>
      <c r="C68" s="2">
        <f>MEDIAN(B68,E68)</f>
        <v>1.1399999999999999</v>
      </c>
      <c r="D68" s="2">
        <v>1.1399999999999999</v>
      </c>
      <c r="E68" s="2">
        <v>1.46</v>
      </c>
      <c r="F68" s="1">
        <v>2.33</v>
      </c>
      <c r="G68" s="1">
        <v>2.33</v>
      </c>
      <c r="H68" s="1">
        <v>2.33</v>
      </c>
    </row>
    <row r="69" spans="1:8" x14ac:dyDescent="0.3">
      <c r="A69" t="s">
        <v>104</v>
      </c>
      <c r="B69" s="2">
        <v>0.72</v>
      </c>
      <c r="C69" s="2">
        <v>0.72</v>
      </c>
      <c r="D69" s="2">
        <v>0.72</v>
      </c>
      <c r="E69" s="2">
        <v>0.72</v>
      </c>
      <c r="F69" s="1">
        <v>1.96</v>
      </c>
      <c r="G69" s="1">
        <v>1.96</v>
      </c>
      <c r="H69" s="1">
        <v>1.96</v>
      </c>
    </row>
    <row r="70" spans="1:8" x14ac:dyDescent="0.3">
      <c r="A70" t="s">
        <v>105</v>
      </c>
      <c r="B70" s="2">
        <v>2.0299999999999998</v>
      </c>
      <c r="C70" s="2">
        <v>5.34</v>
      </c>
      <c r="D70" s="2">
        <v>1.0900000000000001</v>
      </c>
      <c r="E70" s="2">
        <v>2.0299999999999998</v>
      </c>
      <c r="F70" s="1">
        <v>1.0900000000000001</v>
      </c>
      <c r="G70" s="1">
        <v>1.0900000000000001</v>
      </c>
      <c r="H70" s="1">
        <v>18.18</v>
      </c>
    </row>
    <row r="71" spans="1:8" x14ac:dyDescent="0.3">
      <c r="A71" t="s">
        <v>107</v>
      </c>
      <c r="B71" s="2">
        <v>0.22</v>
      </c>
      <c r="C71" s="2">
        <v>0.31</v>
      </c>
      <c r="D71" s="2">
        <f>MEDIAN(B71:C71,E71)</f>
        <v>0.31</v>
      </c>
      <c r="E71" s="2">
        <v>0.4</v>
      </c>
      <c r="F71" s="1">
        <v>0.14000000000000001</v>
      </c>
      <c r="G71" s="1">
        <v>0.14000000000000001</v>
      </c>
      <c r="H71" s="1">
        <v>0.14000000000000001</v>
      </c>
    </row>
    <row r="72" spans="1:8" x14ac:dyDescent="0.3">
      <c r="A72" t="s">
        <v>108</v>
      </c>
      <c r="B72" s="2">
        <v>0.35</v>
      </c>
      <c r="C72" s="2">
        <f>MEDIAN(B72,E72)</f>
        <v>0.435</v>
      </c>
      <c r="D72" s="2">
        <v>0.435</v>
      </c>
      <c r="E72" s="2">
        <v>0.52</v>
      </c>
      <c r="F72" s="1">
        <v>0.43</v>
      </c>
      <c r="G72" s="1">
        <v>0.43</v>
      </c>
      <c r="H72" s="1">
        <v>0.43</v>
      </c>
    </row>
    <row r="73" spans="1:8" x14ac:dyDescent="0.3">
      <c r="A73" t="s">
        <v>109</v>
      </c>
      <c r="B73" s="2">
        <v>0.41</v>
      </c>
      <c r="C73" s="2">
        <v>0.33</v>
      </c>
      <c r="D73" s="2">
        <f>MEDIAN(B73:C73)</f>
        <v>0.37</v>
      </c>
      <c r="E73" s="2">
        <v>0.37</v>
      </c>
      <c r="F73" s="1">
        <v>0.77</v>
      </c>
      <c r="G73" s="1">
        <v>0.77</v>
      </c>
      <c r="H73" s="1">
        <v>0.77</v>
      </c>
    </row>
    <row r="74" spans="1:8" x14ac:dyDescent="0.3">
      <c r="A74" t="s">
        <v>110</v>
      </c>
      <c r="B74" s="2">
        <v>0.3</v>
      </c>
      <c r="C74" s="2">
        <v>0.3</v>
      </c>
      <c r="D74" s="2">
        <v>0.91</v>
      </c>
      <c r="E74" s="2">
        <v>0.48</v>
      </c>
      <c r="F74" s="1">
        <f>MEDIAN(G74:H74)</f>
        <v>0.39</v>
      </c>
      <c r="G74" s="1">
        <v>0.3</v>
      </c>
      <c r="H74" s="1">
        <v>0.48</v>
      </c>
    </row>
    <row r="75" spans="1:8" x14ac:dyDescent="0.3">
      <c r="A75" t="s">
        <v>112</v>
      </c>
      <c r="B75" s="2">
        <v>0.14000000000000001</v>
      </c>
      <c r="C75" s="2">
        <v>0.14000000000000001</v>
      </c>
      <c r="D75" s="2">
        <v>0.14000000000000001</v>
      </c>
      <c r="E75" s="2">
        <v>0.39</v>
      </c>
      <c r="F75" s="1">
        <v>0.14000000000000001</v>
      </c>
      <c r="G75" s="1">
        <v>0.22</v>
      </c>
      <c r="H75" s="1">
        <f>MEDIAN(F75:G75)</f>
        <v>0.18</v>
      </c>
    </row>
    <row r="76" spans="1:8" x14ac:dyDescent="0.3">
      <c r="A76" t="s">
        <v>116</v>
      </c>
      <c r="B76" s="2">
        <v>0.39</v>
      </c>
      <c r="C76" s="2">
        <v>0.39</v>
      </c>
      <c r="D76" s="2">
        <v>0.39</v>
      </c>
      <c r="E76" s="2">
        <v>0.39</v>
      </c>
      <c r="F76" s="1">
        <v>0.63</v>
      </c>
      <c r="G76" s="1">
        <v>0.63</v>
      </c>
      <c r="H76" s="1">
        <v>0.63</v>
      </c>
    </row>
    <row r="77" spans="1:8" x14ac:dyDescent="0.3">
      <c r="A77" t="s">
        <v>118</v>
      </c>
      <c r="B77" s="2">
        <v>0.37</v>
      </c>
      <c r="C77" s="2">
        <f>MEDIAN(B77,E77)</f>
        <v>0.49</v>
      </c>
      <c r="D77" s="2">
        <v>0.49</v>
      </c>
      <c r="E77" s="2">
        <v>0.61</v>
      </c>
      <c r="F77" s="1">
        <v>1.6</v>
      </c>
      <c r="G77" s="1">
        <v>1.6</v>
      </c>
      <c r="H77" s="1">
        <v>1.6</v>
      </c>
    </row>
    <row r="78" spans="1:8" x14ac:dyDescent="0.3">
      <c r="A78" t="s">
        <v>119</v>
      </c>
      <c r="B78" s="2">
        <v>0.43</v>
      </c>
      <c r="C78" s="2">
        <v>0.43</v>
      </c>
      <c r="D78" s="2">
        <v>0.43</v>
      </c>
      <c r="E78" s="2">
        <v>0.43</v>
      </c>
      <c r="F78" s="1">
        <v>0.2</v>
      </c>
      <c r="G78" s="1">
        <v>0.2</v>
      </c>
      <c r="H78" s="1">
        <v>0.2</v>
      </c>
    </row>
    <row r="79" spans="1:8" x14ac:dyDescent="0.3">
      <c r="A79" t="s">
        <v>120</v>
      </c>
      <c r="B79" s="2">
        <v>0.32</v>
      </c>
      <c r="C79" s="2">
        <v>0.15</v>
      </c>
      <c r="D79" s="2">
        <v>0.23</v>
      </c>
      <c r="E79" s="2">
        <v>0.23</v>
      </c>
      <c r="F79" s="1">
        <v>0.23</v>
      </c>
      <c r="G79" s="1">
        <v>0.15</v>
      </c>
      <c r="H79" s="1">
        <f>MEDIAN(F79:G79)</f>
        <v>0.19</v>
      </c>
    </row>
    <row r="80" spans="1:8" x14ac:dyDescent="0.3">
      <c r="A80" t="s">
        <v>121</v>
      </c>
      <c r="B80" s="2">
        <v>0.44</v>
      </c>
      <c r="C80" s="2">
        <v>0.2</v>
      </c>
      <c r="D80" s="2">
        <v>0.44</v>
      </c>
      <c r="E80" s="2">
        <v>0.44</v>
      </c>
      <c r="F80" s="1">
        <v>0.57999999999999996</v>
      </c>
      <c r="G80" s="1">
        <v>0.57999999999999996</v>
      </c>
      <c r="H80" s="1">
        <v>0.57999999999999996</v>
      </c>
    </row>
    <row r="81" spans="1:8" x14ac:dyDescent="0.3">
      <c r="A81" t="s">
        <v>122</v>
      </c>
      <c r="B81" s="2">
        <v>0.06</v>
      </c>
      <c r="C81" s="2">
        <f>MEDIAN(B81,E81)</f>
        <v>4.4999999999999998E-2</v>
      </c>
      <c r="D81" s="2">
        <v>4.4999999999999998E-2</v>
      </c>
      <c r="E81" s="2">
        <v>0.03</v>
      </c>
      <c r="F81" s="1">
        <v>0.03</v>
      </c>
      <c r="G81" s="1">
        <v>0.03</v>
      </c>
      <c r="H81" s="1">
        <v>0.03</v>
      </c>
    </row>
    <row r="82" spans="1:8" x14ac:dyDescent="0.3">
      <c r="A82" t="s">
        <v>123</v>
      </c>
      <c r="B82" s="2">
        <v>0.1</v>
      </c>
      <c r="C82" s="2">
        <v>0.04</v>
      </c>
      <c r="D82" s="2">
        <v>0.04</v>
      </c>
      <c r="E82" s="2">
        <v>0.1</v>
      </c>
      <c r="F82" s="1">
        <v>0.04</v>
      </c>
      <c r="G82" s="1">
        <v>0.04</v>
      </c>
      <c r="H82" s="1">
        <v>0.04</v>
      </c>
    </row>
    <row r="83" spans="1:8" x14ac:dyDescent="0.3">
      <c r="A83" t="s">
        <v>126</v>
      </c>
      <c r="B83" s="2">
        <v>0.61</v>
      </c>
      <c r="C83" s="2">
        <v>0.1</v>
      </c>
      <c r="D83" s="2">
        <v>0.1</v>
      </c>
      <c r="E83" s="2">
        <v>0.15</v>
      </c>
      <c r="F83" s="1">
        <v>0.1</v>
      </c>
      <c r="G83" s="1">
        <v>0.1</v>
      </c>
      <c r="H83" s="1">
        <v>0.1</v>
      </c>
    </row>
    <row r="84" spans="1:8" x14ac:dyDescent="0.3">
      <c r="A84" t="s">
        <v>128</v>
      </c>
      <c r="B84" s="2">
        <v>0.89</v>
      </c>
      <c r="C84" s="2">
        <v>3.9</v>
      </c>
      <c r="D84" s="2">
        <f>MEDIAN(B84:C84)</f>
        <v>2.395</v>
      </c>
      <c r="E84" s="2">
        <f>MEDIAN(C84:D84)</f>
        <v>3.1475</v>
      </c>
      <c r="F84" s="1">
        <v>2.04</v>
      </c>
      <c r="G84" s="1">
        <v>2.04</v>
      </c>
      <c r="H84" s="1">
        <v>2.04</v>
      </c>
    </row>
    <row r="85" spans="1:8" x14ac:dyDescent="0.3">
      <c r="A85" t="s">
        <v>129</v>
      </c>
      <c r="B85" s="2">
        <v>0.47</v>
      </c>
      <c r="C85" s="2">
        <v>0.47</v>
      </c>
      <c r="D85" s="2">
        <v>0.47</v>
      </c>
      <c r="E85" s="2">
        <v>0.47</v>
      </c>
      <c r="F85" s="1">
        <v>0.47</v>
      </c>
      <c r="G85" s="1">
        <v>0.47</v>
      </c>
      <c r="H85" s="1">
        <v>0.47</v>
      </c>
    </row>
    <row r="86" spans="1:8" x14ac:dyDescent="0.3">
      <c r="A86" t="s">
        <v>130</v>
      </c>
      <c r="B86" s="2">
        <v>0.24</v>
      </c>
      <c r="C86" s="2">
        <f>MEDIAN(B86,E86)</f>
        <v>0.19500000000000001</v>
      </c>
      <c r="D86" s="2">
        <v>0.19500000000000001</v>
      </c>
      <c r="E86" s="2">
        <v>0.15</v>
      </c>
      <c r="F86" s="1">
        <v>0.15</v>
      </c>
      <c r="G86" s="1">
        <v>0.15</v>
      </c>
      <c r="H86" s="1">
        <v>0.15</v>
      </c>
    </row>
    <row r="87" spans="1:8" x14ac:dyDescent="0.3">
      <c r="A87" t="s">
        <v>132</v>
      </c>
      <c r="B87" s="2">
        <v>2.09</v>
      </c>
      <c r="C87" s="2">
        <v>2.63</v>
      </c>
      <c r="D87" s="2">
        <v>3.26</v>
      </c>
      <c r="E87" s="2">
        <v>5.37</v>
      </c>
      <c r="F87" s="1">
        <f>MEDIAN(G87:H87)</f>
        <v>3.6150000000000002</v>
      </c>
      <c r="G87" s="1">
        <v>4.88</v>
      </c>
      <c r="H87" s="1">
        <v>2.35</v>
      </c>
    </row>
    <row r="88" spans="1:8" x14ac:dyDescent="0.3">
      <c r="A88" t="s">
        <v>133</v>
      </c>
      <c r="B88" s="2">
        <v>0.36</v>
      </c>
      <c r="C88" s="2">
        <f>MEDIAN(D88:E88)</f>
        <v>0.36</v>
      </c>
      <c r="D88" s="2">
        <v>0.22</v>
      </c>
      <c r="E88" s="2">
        <v>0.5</v>
      </c>
      <c r="F88" s="1">
        <v>0.22</v>
      </c>
      <c r="G88" s="1">
        <v>0.5</v>
      </c>
      <c r="H88" s="1">
        <v>0.22</v>
      </c>
    </row>
    <row r="89" spans="1:8" x14ac:dyDescent="0.3">
      <c r="A89" t="s">
        <v>134</v>
      </c>
      <c r="B89" s="2">
        <v>0.5</v>
      </c>
      <c r="C89" s="2">
        <f>MEDIAN(D89:E89)</f>
        <v>0.5</v>
      </c>
      <c r="D89" s="2">
        <v>0.3</v>
      </c>
      <c r="E89" s="2">
        <v>0.7</v>
      </c>
      <c r="F89" s="1">
        <v>0.3</v>
      </c>
      <c r="G89" s="1">
        <v>0.42</v>
      </c>
      <c r="H89" s="1">
        <f>MEDIAN(F89:G89)</f>
        <v>0.36</v>
      </c>
    </row>
    <row r="90" spans="1:8" x14ac:dyDescent="0.3">
      <c r="A90" t="s">
        <v>136</v>
      </c>
      <c r="B90" s="2">
        <v>0.04</v>
      </c>
      <c r="C90" s="2">
        <v>0.05</v>
      </c>
      <c r="D90" s="2">
        <v>0.03</v>
      </c>
      <c r="E90" s="2">
        <v>0.04</v>
      </c>
      <c r="F90" s="1">
        <v>0.19</v>
      </c>
      <c r="G90" s="1">
        <f>MEDIAN(F90,H90)</f>
        <v>0.14500000000000002</v>
      </c>
      <c r="H90" s="1">
        <v>0.1</v>
      </c>
    </row>
    <row r="91" spans="1:8" x14ac:dyDescent="0.3">
      <c r="A91" t="s">
        <v>137</v>
      </c>
      <c r="B91" s="2">
        <v>5.67</v>
      </c>
      <c r="C91" s="2">
        <v>5.67</v>
      </c>
      <c r="D91" s="2">
        <v>5.67</v>
      </c>
      <c r="E91" s="2">
        <v>5.67</v>
      </c>
      <c r="F91" s="1">
        <v>2.88</v>
      </c>
      <c r="G91" s="1">
        <v>2.88</v>
      </c>
      <c r="H91" s="1">
        <v>2.88</v>
      </c>
    </row>
    <row r="92" spans="1:8" x14ac:dyDescent="0.3">
      <c r="A92" t="s">
        <v>138</v>
      </c>
      <c r="B92" s="2">
        <v>0.27</v>
      </c>
      <c r="C92" s="2">
        <v>0.27</v>
      </c>
      <c r="D92" s="2">
        <v>0.27</v>
      </c>
      <c r="E92" s="2">
        <v>0.27</v>
      </c>
      <c r="F92" s="1">
        <v>0.08</v>
      </c>
      <c r="G92" s="1">
        <v>0.08</v>
      </c>
      <c r="H92" s="1">
        <v>0.08</v>
      </c>
    </row>
    <row r="93" spans="1:8" x14ac:dyDescent="0.3">
      <c r="A93" t="s">
        <v>141</v>
      </c>
      <c r="B93" s="2">
        <v>0.31</v>
      </c>
      <c r="C93" s="2">
        <v>0.31</v>
      </c>
      <c r="D93" s="2">
        <v>0.31</v>
      </c>
      <c r="E93" s="2">
        <v>0.31</v>
      </c>
      <c r="F93" s="1">
        <v>0.5</v>
      </c>
      <c r="G93" s="1">
        <v>0.31</v>
      </c>
      <c r="H93" s="1">
        <v>0.31</v>
      </c>
    </row>
    <row r="94" spans="1:8" x14ac:dyDescent="0.3">
      <c r="A94" t="s">
        <v>142</v>
      </c>
      <c r="B94" s="2">
        <v>0.2</v>
      </c>
      <c r="C94" s="2">
        <v>0.2</v>
      </c>
      <c r="D94" s="2">
        <v>0.2</v>
      </c>
      <c r="E94" s="2">
        <v>0.2</v>
      </c>
      <c r="F94" s="1">
        <v>0.32</v>
      </c>
      <c r="G94" s="1">
        <v>0.32</v>
      </c>
      <c r="H94" s="1">
        <v>0.32</v>
      </c>
    </row>
    <row r="95" spans="1:8" x14ac:dyDescent="0.3">
      <c r="A95" t="s">
        <v>143</v>
      </c>
      <c r="B95" s="2">
        <v>0.28000000000000003</v>
      </c>
      <c r="C95" s="2">
        <v>0.28000000000000003</v>
      </c>
      <c r="D95" s="2">
        <v>0.28000000000000003</v>
      </c>
      <c r="E95" s="2">
        <v>0.28000000000000003</v>
      </c>
      <c r="F95" s="1">
        <v>0.28000000000000003</v>
      </c>
      <c r="G95" s="1">
        <v>0.28000000000000003</v>
      </c>
      <c r="H95" s="1">
        <v>0.28000000000000003</v>
      </c>
    </row>
    <row r="96" spans="1:8" x14ac:dyDescent="0.3">
      <c r="A96" t="s">
        <v>144</v>
      </c>
      <c r="B96" s="2">
        <v>0.17</v>
      </c>
      <c r="C96" s="2">
        <v>0.17</v>
      </c>
      <c r="D96" s="2">
        <v>0.17</v>
      </c>
      <c r="E96" s="2">
        <v>0.17</v>
      </c>
      <c r="F96" s="1">
        <v>0.27</v>
      </c>
      <c r="G96" s="1">
        <f>MEDIAN(F96,H96)</f>
        <v>0.22000000000000003</v>
      </c>
      <c r="H96" s="1">
        <v>0.17</v>
      </c>
    </row>
    <row r="97" spans="1:8" x14ac:dyDescent="0.3">
      <c r="A97" t="s">
        <v>145</v>
      </c>
      <c r="B97" s="2">
        <v>0.18</v>
      </c>
      <c r="C97" s="2">
        <v>0.18</v>
      </c>
      <c r="D97" s="2">
        <v>0.18</v>
      </c>
      <c r="E97" s="2">
        <v>0.18</v>
      </c>
      <c r="F97" s="1">
        <v>0.18</v>
      </c>
      <c r="G97" s="1">
        <v>0.18</v>
      </c>
      <c r="H97" s="1">
        <v>0.18</v>
      </c>
    </row>
    <row r="98" spans="1:8" x14ac:dyDescent="0.3">
      <c r="A98" t="s">
        <v>146</v>
      </c>
      <c r="B98" s="2">
        <v>0.91</v>
      </c>
      <c r="C98" s="2">
        <v>0.67</v>
      </c>
      <c r="D98" s="2">
        <f>MEDIAN(C98,E98)</f>
        <v>0.90999999999999992</v>
      </c>
      <c r="E98" s="2">
        <v>1.1499999999999999</v>
      </c>
      <c r="F98" s="1">
        <v>0.67</v>
      </c>
      <c r="G98" s="1">
        <f>MEDIAN(F98,H98)</f>
        <v>0.60000000000000009</v>
      </c>
      <c r="H98" s="1">
        <v>0.53</v>
      </c>
    </row>
    <row r="99" spans="1:8" x14ac:dyDescent="0.3">
      <c r="A99" t="s">
        <v>149</v>
      </c>
      <c r="B99" s="2">
        <f>MEDIAN(C99:D99)</f>
        <v>0.24</v>
      </c>
      <c r="C99" s="2">
        <v>0.19</v>
      </c>
      <c r="D99" s="2">
        <v>0.28999999999999998</v>
      </c>
      <c r="E99" s="2">
        <v>0.24</v>
      </c>
      <c r="F99" s="1">
        <v>0.28999999999999998</v>
      </c>
      <c r="G99" s="1">
        <v>0.28999999999999998</v>
      </c>
      <c r="H99" s="1">
        <v>0.28999999999999998</v>
      </c>
    </row>
    <row r="100" spans="1:8" x14ac:dyDescent="0.3">
      <c r="A100" t="s">
        <v>150</v>
      </c>
      <c r="B100" s="2">
        <v>14.35</v>
      </c>
      <c r="C100" s="2">
        <v>14.35</v>
      </c>
      <c r="D100" s="2">
        <v>14.35</v>
      </c>
      <c r="E100" s="2">
        <v>14.35</v>
      </c>
      <c r="F100" s="1">
        <v>10.68</v>
      </c>
      <c r="G100" s="1">
        <v>10.68</v>
      </c>
      <c r="H100" s="1">
        <v>10.68</v>
      </c>
    </row>
    <row r="101" spans="1:8" x14ac:dyDescent="0.3">
      <c r="A101" t="s">
        <v>152</v>
      </c>
      <c r="B101" s="2">
        <v>0.3</v>
      </c>
      <c r="C101" s="2">
        <v>0.3</v>
      </c>
      <c r="D101" s="2">
        <v>0.3</v>
      </c>
      <c r="E101" s="2">
        <v>0.3</v>
      </c>
      <c r="F101" s="1">
        <v>0.14000000000000001</v>
      </c>
      <c r="G101" s="1">
        <v>0.14000000000000001</v>
      </c>
      <c r="H101" s="1">
        <v>0.14000000000000001</v>
      </c>
    </row>
    <row r="102" spans="1:8" x14ac:dyDescent="0.3">
      <c r="A102" t="s">
        <v>154</v>
      </c>
      <c r="B102" s="2">
        <v>0.36</v>
      </c>
      <c r="C102" s="2">
        <v>0.3</v>
      </c>
      <c r="D102" s="2">
        <f>MEDIAN(C102,E102)</f>
        <v>0.36</v>
      </c>
      <c r="E102" s="2">
        <v>0.42</v>
      </c>
      <c r="F102" s="1">
        <f>MEDIAN(G102:H102)</f>
        <v>0.37</v>
      </c>
      <c r="G102" s="1">
        <v>0.19</v>
      </c>
      <c r="H102" s="1">
        <v>0.55000000000000004</v>
      </c>
    </row>
    <row r="103" spans="1:8" x14ac:dyDescent="0.3">
      <c r="A103" t="s">
        <v>155</v>
      </c>
      <c r="B103" s="2">
        <f>MEDIAN(C103,E103)</f>
        <v>0.125</v>
      </c>
      <c r="C103" s="2">
        <v>0.1</v>
      </c>
      <c r="D103" s="2">
        <v>0.125</v>
      </c>
      <c r="E103" s="2">
        <v>0.15</v>
      </c>
      <c r="F103" s="1">
        <v>0.1</v>
      </c>
      <c r="G103" s="1">
        <v>0.1</v>
      </c>
      <c r="H103" s="1">
        <v>0.1</v>
      </c>
    </row>
    <row r="104" spans="1:8" x14ac:dyDescent="0.3">
      <c r="A104" t="s">
        <v>156</v>
      </c>
      <c r="B104" s="2">
        <v>0.16</v>
      </c>
      <c r="C104" s="2">
        <v>0.16</v>
      </c>
      <c r="D104" s="2">
        <v>0.16</v>
      </c>
      <c r="E104" s="2">
        <v>0.16</v>
      </c>
      <c r="F104" s="1">
        <v>0.04</v>
      </c>
      <c r="G104" s="1">
        <v>0.04</v>
      </c>
      <c r="H104" s="1">
        <v>0.04</v>
      </c>
    </row>
    <row r="105" spans="1:8" x14ac:dyDescent="0.3">
      <c r="A105" t="s">
        <v>157</v>
      </c>
      <c r="B105" s="2">
        <v>3.65</v>
      </c>
      <c r="C105" s="2">
        <v>3.65</v>
      </c>
      <c r="D105" s="2">
        <v>3.65</v>
      </c>
      <c r="E105" s="2">
        <v>3.65</v>
      </c>
      <c r="F105" s="1">
        <v>0.61</v>
      </c>
      <c r="G105" s="1">
        <v>0.61</v>
      </c>
      <c r="H105" s="1">
        <v>0.61</v>
      </c>
    </row>
    <row r="106" spans="1:8" x14ac:dyDescent="0.3">
      <c r="A106" t="s">
        <v>160</v>
      </c>
      <c r="B106" s="2">
        <v>0.18</v>
      </c>
      <c r="C106" s="2">
        <v>0.18</v>
      </c>
      <c r="D106" s="2">
        <v>0.18</v>
      </c>
      <c r="E106" s="2">
        <v>0.18</v>
      </c>
      <c r="F106" s="1">
        <v>0.4</v>
      </c>
      <c r="G106" s="1">
        <v>0.4</v>
      </c>
      <c r="H106" s="1">
        <v>0.4</v>
      </c>
    </row>
    <row r="107" spans="1:8" x14ac:dyDescent="0.3">
      <c r="A107" t="s">
        <v>161</v>
      </c>
      <c r="B107" s="2">
        <v>0.12</v>
      </c>
      <c r="C107" s="2">
        <v>0.12</v>
      </c>
      <c r="D107" s="2">
        <v>0.12</v>
      </c>
      <c r="E107" s="2">
        <v>0.12</v>
      </c>
      <c r="F107" s="1">
        <v>0.19</v>
      </c>
      <c r="G107" s="1">
        <v>0.19</v>
      </c>
      <c r="H107" s="1">
        <v>0.19</v>
      </c>
    </row>
    <row r="108" spans="1:8" x14ac:dyDescent="0.3">
      <c r="A108" t="s">
        <v>162</v>
      </c>
      <c r="B108" s="2">
        <v>0.06</v>
      </c>
      <c r="C108" s="2">
        <f>MEDIAN(D108:E108)</f>
        <v>6.0000000000000005E-2</v>
      </c>
      <c r="D108" s="2">
        <v>0.05</v>
      </c>
      <c r="E108" s="2">
        <v>7.0000000000000007E-2</v>
      </c>
      <c r="F108" s="1">
        <v>0.11</v>
      </c>
      <c r="G108" s="1">
        <v>0.11</v>
      </c>
      <c r="H108" s="1">
        <v>0.11</v>
      </c>
    </row>
    <row r="109" spans="1:8" x14ac:dyDescent="0.3">
      <c r="A109" t="s">
        <v>164</v>
      </c>
      <c r="B109" s="2">
        <v>0.23</v>
      </c>
      <c r="C109" s="2">
        <v>0.23</v>
      </c>
      <c r="D109" s="2">
        <v>0.23</v>
      </c>
      <c r="E109" s="2">
        <v>0.23</v>
      </c>
      <c r="F109" s="1">
        <v>0.37</v>
      </c>
      <c r="G109" s="1">
        <v>0.37</v>
      </c>
      <c r="H109" s="1">
        <v>0.37</v>
      </c>
    </row>
    <row r="110" spans="1:8" x14ac:dyDescent="0.3">
      <c r="A110" t="s">
        <v>166</v>
      </c>
      <c r="B110" s="2">
        <v>0.55000000000000004</v>
      </c>
      <c r="C110" s="2">
        <v>0.55000000000000004</v>
      </c>
      <c r="D110" s="2">
        <v>0.55000000000000004</v>
      </c>
      <c r="E110" s="2">
        <v>0.55000000000000004</v>
      </c>
      <c r="F110" s="1">
        <v>2.23</v>
      </c>
      <c r="G110" s="1">
        <v>2.23</v>
      </c>
      <c r="H110" s="1">
        <v>2.23</v>
      </c>
    </row>
    <row r="111" spans="1:8" x14ac:dyDescent="0.3">
      <c r="A111" t="s">
        <v>167</v>
      </c>
      <c r="B111" s="2">
        <v>0.44</v>
      </c>
      <c r="C111" s="2">
        <v>0.44</v>
      </c>
      <c r="D111" s="2">
        <v>0.44</v>
      </c>
      <c r="E111" s="2">
        <v>0.44</v>
      </c>
      <c r="F111" s="1">
        <v>1.07</v>
      </c>
      <c r="G111" s="1">
        <v>1.07</v>
      </c>
      <c r="H111" s="1">
        <v>1.07</v>
      </c>
    </row>
    <row r="112" spans="1:8" x14ac:dyDescent="0.3">
      <c r="A112" t="s">
        <v>169</v>
      </c>
      <c r="B112" s="2">
        <v>3.1</v>
      </c>
      <c r="C112" s="2">
        <v>3.1</v>
      </c>
      <c r="D112" s="2">
        <v>3.1</v>
      </c>
      <c r="E112" s="2">
        <v>3.1</v>
      </c>
      <c r="F112" s="1">
        <v>1.02</v>
      </c>
      <c r="G112" s="1">
        <v>1.02</v>
      </c>
      <c r="H112" s="1">
        <v>1.02</v>
      </c>
    </row>
    <row r="113" spans="1:8" x14ac:dyDescent="0.3">
      <c r="A113" t="s">
        <v>170</v>
      </c>
      <c r="B113" s="2">
        <v>0.62</v>
      </c>
      <c r="C113" s="2">
        <v>0.62</v>
      </c>
      <c r="D113" s="2">
        <v>0.62</v>
      </c>
      <c r="E113" s="2">
        <v>0.62</v>
      </c>
      <c r="F113" s="1">
        <v>0.27</v>
      </c>
      <c r="G113" s="1">
        <v>0.27</v>
      </c>
      <c r="H113" s="1">
        <v>0.27</v>
      </c>
    </row>
    <row r="114" spans="1:8" x14ac:dyDescent="0.3">
      <c r="A114" t="s">
        <v>171</v>
      </c>
      <c r="B114" s="2">
        <v>0.61</v>
      </c>
      <c r="C114" s="2">
        <v>0.61</v>
      </c>
      <c r="D114" s="2">
        <v>0.61</v>
      </c>
      <c r="E114" s="2">
        <v>0.61</v>
      </c>
      <c r="F114" s="1">
        <v>0.38</v>
      </c>
      <c r="G114" s="1">
        <v>0.38</v>
      </c>
      <c r="H114" s="1">
        <v>0.38</v>
      </c>
    </row>
  </sheetData>
  <autoFilter ref="A1:H1" xr:uid="{C55142D9-1EE2-42FA-8DEF-D34228F92EF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DB74-E043-4F01-AF10-B67A3097AEEA}">
  <sheetPr filterMode="1">
    <tabColor rgb="FFFFFF00"/>
  </sheetPr>
  <dimension ref="A1:K140"/>
  <sheetViews>
    <sheetView workbookViewId="0">
      <selection activeCell="C1" sqref="C1:I1048576"/>
    </sheetView>
  </sheetViews>
  <sheetFormatPr baseColWidth="10" defaultColWidth="11.44140625" defaultRowHeight="15" customHeight="1" x14ac:dyDescent="0.3"/>
  <cols>
    <col min="3" max="3" width="15.6640625" style="28" customWidth="1"/>
    <col min="4" max="9" width="11.44140625" style="30"/>
    <col min="11" max="11" width="17.44140625" customWidth="1"/>
  </cols>
  <sheetData>
    <row r="1" spans="1:11" ht="14.4" x14ac:dyDescent="0.3">
      <c r="B1" s="3" t="s">
        <v>0</v>
      </c>
      <c r="C1" s="26" t="s">
        <v>181</v>
      </c>
      <c r="D1" s="27" t="s">
        <v>182</v>
      </c>
      <c r="E1" s="27" t="s">
        <v>183</v>
      </c>
      <c r="F1" s="27" t="s">
        <v>184</v>
      </c>
      <c r="G1" s="27" t="s">
        <v>185</v>
      </c>
      <c r="H1" s="27" t="s">
        <v>186</v>
      </c>
      <c r="I1" s="27" t="s">
        <v>187</v>
      </c>
      <c r="J1" s="3" t="s">
        <v>188</v>
      </c>
      <c r="K1" s="3" t="s">
        <v>189</v>
      </c>
    </row>
    <row r="2" spans="1:11" ht="14.4" x14ac:dyDescent="0.3">
      <c r="A2">
        <v>3</v>
      </c>
      <c r="B2" t="s">
        <v>101</v>
      </c>
      <c r="C2" s="28" t="str">
        <f>VLOOKUP(B2,'Uniprot-API'!$A$1:$D$165,2,)</f>
        <v>ALDOA</v>
      </c>
      <c r="D2" s="29" t="e">
        <f>VLOOKUP(B2,'BiomaRt Ensembl'!$A$1:$F$327,2,)</f>
        <v>#N/A</v>
      </c>
      <c r="E2" s="30">
        <v>-1.9033852659892301</v>
      </c>
      <c r="F2" s="30">
        <v>-1.33786658108964</v>
      </c>
      <c r="G2" s="30">
        <v>-21.793258776733602</v>
      </c>
      <c r="H2" s="31">
        <v>3.8223427317880802E-8</v>
      </c>
      <c r="I2" s="31">
        <v>1.7710187990618101E-6</v>
      </c>
      <c r="J2">
        <v>9.6479256061110092</v>
      </c>
      <c r="K2" t="s">
        <v>190</v>
      </c>
    </row>
    <row r="3" spans="1:11" ht="14.4" x14ac:dyDescent="0.3">
      <c r="A3">
        <v>5</v>
      </c>
      <c r="B3" t="s">
        <v>32</v>
      </c>
      <c r="C3" s="28">
        <f>VLOOKUP(B3,'Uniprot-API'!$A$1:$D$165,2,)</f>
        <v>0</v>
      </c>
      <c r="D3" s="29">
        <f>VLOOKUP(B3,'BiomaRt Ensembl'!$A$1:$F$327,2,)</f>
        <v>0</v>
      </c>
      <c r="E3" s="30">
        <v>-2.3312730954051899</v>
      </c>
      <c r="F3" s="30">
        <v>0.65319843855997095</v>
      </c>
      <c r="G3" s="30">
        <v>-16.918985360161201</v>
      </c>
      <c r="H3" s="31">
        <v>2.5422982179118098E-7</v>
      </c>
      <c r="I3" s="31">
        <v>7.0675890457948403E-6</v>
      </c>
      <c r="J3">
        <v>7.6518822029393601</v>
      </c>
      <c r="K3" t="s">
        <v>190</v>
      </c>
    </row>
    <row r="4" spans="1:11" ht="14.4" x14ac:dyDescent="0.3">
      <c r="A4">
        <v>6</v>
      </c>
      <c r="B4" t="s">
        <v>26</v>
      </c>
      <c r="C4" s="28" t="str">
        <f>VLOOKUP(B4,'Uniprot-API'!$A$1:$D$165,2,)</f>
        <v>C3</v>
      </c>
      <c r="D4" s="29" t="e">
        <f>VLOOKUP(B4,'BiomaRt Ensembl'!$A$1:$F$327,2,)</f>
        <v>#N/A</v>
      </c>
      <c r="E4" s="30">
        <v>-1.2732008427561901</v>
      </c>
      <c r="F4" s="30">
        <v>-2.3444139926614098</v>
      </c>
      <c r="G4" s="30">
        <v>-14.723245109676</v>
      </c>
      <c r="H4" s="31">
        <v>7.1321170962321002E-7</v>
      </c>
      <c r="I4" s="31">
        <v>1.4630295075778601E-5</v>
      </c>
      <c r="J4">
        <v>6.5424712115647301</v>
      </c>
      <c r="K4" t="s">
        <v>190</v>
      </c>
    </row>
    <row r="5" spans="1:11" ht="14.4" x14ac:dyDescent="0.3">
      <c r="A5">
        <v>7</v>
      </c>
      <c r="B5" t="s">
        <v>172</v>
      </c>
      <c r="C5" s="28" t="str">
        <f>VLOOKUP(B5,'Uniprot-API'!$A$1:$D$165,2,)</f>
        <v>NME2</v>
      </c>
      <c r="D5" s="29" t="str">
        <f>VLOOKUP(B5,'BiomaRt Ensembl'!$A$1:$F$327,2,)</f>
        <v>NME2</v>
      </c>
      <c r="E5" s="30">
        <v>-1.2597338110668701</v>
      </c>
      <c r="F5" s="30">
        <v>-1.24482648714936</v>
      </c>
      <c r="G5" s="30">
        <v>-14.357288554655399</v>
      </c>
      <c r="H5" s="31">
        <v>8.5893163751230102E-7</v>
      </c>
      <c r="I5" s="31">
        <v>1.4630295075778601E-5</v>
      </c>
      <c r="J5">
        <v>6.3412469104032896</v>
      </c>
      <c r="K5" t="s">
        <v>190</v>
      </c>
    </row>
    <row r="6" spans="1:11" ht="14.4" x14ac:dyDescent="0.3">
      <c r="A6">
        <v>8</v>
      </c>
      <c r="B6" t="s">
        <v>125</v>
      </c>
      <c r="C6" s="28" t="str">
        <f>VLOOKUP(B6,'Uniprot-API'!$A$1:$D$165,2,)</f>
        <v>TALDO1</v>
      </c>
      <c r="D6" s="29" t="str">
        <f>VLOOKUP(B6,'BiomaRt Ensembl'!$A$1:$F$327,2,)</f>
        <v>TALDO1</v>
      </c>
      <c r="E6" s="30">
        <v>-1.2369696305972699</v>
      </c>
      <c r="F6" s="30">
        <v>-1.47851515722825</v>
      </c>
      <c r="G6" s="30">
        <v>-14.249998954567999</v>
      </c>
      <c r="H6" s="31">
        <v>9.0781072460613705E-7</v>
      </c>
      <c r="I6" s="31">
        <v>1.4630295075778601E-5</v>
      </c>
      <c r="J6">
        <v>6.2812750070877996</v>
      </c>
      <c r="K6" t="s">
        <v>190</v>
      </c>
    </row>
    <row r="7" spans="1:11" ht="14.4" x14ac:dyDescent="0.3">
      <c r="A7">
        <v>10</v>
      </c>
      <c r="B7" t="s">
        <v>152</v>
      </c>
      <c r="C7" s="28" t="str">
        <f>VLOOKUP(B7,'Uniprot-API'!$A$1:$D$165,2,)</f>
        <v>KRT75</v>
      </c>
      <c r="D7" s="29" t="e">
        <f>VLOOKUP(B7,'BiomaRt Ensembl'!$A$1:$F$327,2,)</f>
        <v>#N/A</v>
      </c>
      <c r="E7" s="30">
        <v>-1.1663648490431699</v>
      </c>
      <c r="F7" s="30">
        <v>-2.2909959958049</v>
      </c>
      <c r="G7" s="30">
        <v>-13.511837579252999</v>
      </c>
      <c r="H7" s="31">
        <v>1.3430781800375199E-6</v>
      </c>
      <c r="I7" s="31">
        <v>1.86687867025216E-5</v>
      </c>
      <c r="J7">
        <v>5.8560405834906497</v>
      </c>
      <c r="K7" t="s">
        <v>190</v>
      </c>
    </row>
    <row r="8" spans="1:11" ht="14.4" x14ac:dyDescent="0.3">
      <c r="A8">
        <v>26</v>
      </c>
      <c r="B8" t="s">
        <v>127</v>
      </c>
      <c r="C8" s="28" t="str">
        <f>VLOOKUP(B8,'Uniprot-API'!$A$1:$D$165,2,)</f>
        <v>TPI1</v>
      </c>
      <c r="D8" s="29" t="str">
        <f>VLOOKUP(B8,'BiomaRt Ensembl'!$A$1:$F$327,2,)</f>
        <v>TPI1</v>
      </c>
      <c r="E8" s="30">
        <v>-1.3408975701049599</v>
      </c>
      <c r="F8" s="30">
        <v>-0.65613143066738699</v>
      </c>
      <c r="G8" s="30">
        <v>-7.4360047504627502</v>
      </c>
      <c r="H8" s="31">
        <v>9.4298970164882604E-5</v>
      </c>
      <c r="I8" s="30">
        <v>5.0413680203533395E-4</v>
      </c>
      <c r="J8">
        <v>1.1867580797830299</v>
      </c>
      <c r="K8" t="s">
        <v>190</v>
      </c>
    </row>
    <row r="9" spans="1:11" ht="14.4" x14ac:dyDescent="0.3">
      <c r="A9">
        <v>27</v>
      </c>
      <c r="B9" t="s">
        <v>82</v>
      </c>
      <c r="C9" s="28" t="str">
        <f>VLOOKUP(B9,'Uniprot-API'!$A$1:$D$165,2,)</f>
        <v>COQ10B</v>
      </c>
      <c r="D9" s="29" t="str">
        <f>VLOOKUP(B9,'BiomaRt Ensembl'!$A$1:$F$327,2,)</f>
        <v>COQ10B</v>
      </c>
      <c r="E9" s="30">
        <v>-1.22863315254818</v>
      </c>
      <c r="F9" s="30">
        <v>1.2503191137079499</v>
      </c>
      <c r="G9" s="30">
        <v>-7.3731063412434104</v>
      </c>
      <c r="H9" s="31">
        <v>9.9896371881879397E-5</v>
      </c>
      <c r="I9" s="30">
        <v>5.1428132191041597E-4</v>
      </c>
      <c r="J9">
        <v>1.1231888693143199</v>
      </c>
      <c r="K9" t="s">
        <v>190</v>
      </c>
    </row>
    <row r="10" spans="1:11" ht="14.4" x14ac:dyDescent="0.3">
      <c r="A10">
        <v>28</v>
      </c>
      <c r="B10" t="s">
        <v>148</v>
      </c>
      <c r="C10" s="28" t="str">
        <f>VLOOKUP(B10,'Uniprot-API'!$A$1:$D$165,2,)</f>
        <v>APOH</v>
      </c>
      <c r="D10" s="29" t="str">
        <f>VLOOKUP(B10,'BiomaRt Ensembl'!$A$1:$F$327,2,)</f>
        <v>APOH</v>
      </c>
      <c r="E10" s="30">
        <v>-1.28153032250206</v>
      </c>
      <c r="F10" s="30">
        <v>-1.10599984467686</v>
      </c>
      <c r="G10" s="30">
        <v>-7.21968649750095</v>
      </c>
      <c r="H10" s="30">
        <v>1.15170083875657E-4</v>
      </c>
      <c r="I10" s="30">
        <v>5.52092115902516E-4</v>
      </c>
      <c r="J10">
        <v>0.96635752196659797</v>
      </c>
      <c r="K10" t="s">
        <v>190</v>
      </c>
    </row>
    <row r="11" spans="1:11" ht="14.4" x14ac:dyDescent="0.3">
      <c r="A11">
        <v>41</v>
      </c>
      <c r="B11" t="s">
        <v>61</v>
      </c>
      <c r="C11" s="28" t="str">
        <f>VLOOKUP(B11,'Uniprot-API'!$A$1:$D$165,2,)</f>
        <v>LGALS7B</v>
      </c>
      <c r="D11" s="29" t="str">
        <f>VLOOKUP(B11,'BiomaRt Ensembl'!$A$1:$F$327,2,)</f>
        <v>ACTN4</v>
      </c>
      <c r="E11" s="30">
        <v>-1.48732327625991</v>
      </c>
      <c r="F11" s="30">
        <v>-2.9370995902186401</v>
      </c>
      <c r="G11" s="30">
        <v>-5.7330978144855997</v>
      </c>
      <c r="H11" s="30">
        <v>5.2174165043069503E-4</v>
      </c>
      <c r="I11" s="30">
        <v>1.7688314490211399E-3</v>
      </c>
      <c r="J11">
        <v>-0.69566665725622201</v>
      </c>
      <c r="K11" t="s">
        <v>190</v>
      </c>
    </row>
    <row r="12" spans="1:11" ht="14.4" x14ac:dyDescent="0.3">
      <c r="A12">
        <v>47</v>
      </c>
      <c r="B12" t="s">
        <v>93</v>
      </c>
      <c r="C12" s="28" t="str">
        <f>VLOOKUP(B12,'Uniprot-API'!$A$1:$D$165,2,)</f>
        <v>ANXA2</v>
      </c>
      <c r="D12" s="29" t="str">
        <f>VLOOKUP(B12,'BiomaRt Ensembl'!$A$1:$F$327,2,)</f>
        <v>ANXA2</v>
      </c>
      <c r="E12" s="30">
        <v>-1.2998499574121301</v>
      </c>
      <c r="F12" s="30">
        <v>-1.28138908841293</v>
      </c>
      <c r="G12" s="30">
        <v>-4.6738131645240797</v>
      </c>
      <c r="H12" s="30">
        <v>1.8136907986936999E-3</v>
      </c>
      <c r="I12" s="30">
        <v>5.3638940642218103E-3</v>
      </c>
      <c r="J12">
        <v>-2.0571356247857899</v>
      </c>
      <c r="K12" t="s">
        <v>190</v>
      </c>
    </row>
    <row r="13" spans="1:11" ht="14.4" x14ac:dyDescent="0.3">
      <c r="A13">
        <v>49</v>
      </c>
      <c r="B13" t="s">
        <v>114</v>
      </c>
      <c r="C13" s="28" t="str">
        <f>VLOOKUP(B13,'Uniprot-API'!$A$1:$D$165,2,)</f>
        <v>ENO1</v>
      </c>
      <c r="D13" s="29" t="str">
        <f>VLOOKUP(B13,'BiomaRt Ensembl'!$A$1:$F$327,2,)</f>
        <v>ENO1</v>
      </c>
      <c r="E13" s="30">
        <v>-1.4562074565611201</v>
      </c>
      <c r="F13" s="30">
        <v>-0.153365343162507</v>
      </c>
      <c r="G13" s="30">
        <v>-4.4320962134622999</v>
      </c>
      <c r="H13" s="30">
        <v>2.4646159776392099E-3</v>
      </c>
      <c r="I13" s="30">
        <v>6.9914616508540903E-3</v>
      </c>
      <c r="J13">
        <v>-2.3901005259884398</v>
      </c>
      <c r="K13" t="s">
        <v>190</v>
      </c>
    </row>
    <row r="14" spans="1:11" ht="14.4" hidden="1" x14ac:dyDescent="0.3">
      <c r="A14">
        <v>13</v>
      </c>
      <c r="B14" t="s">
        <v>109</v>
      </c>
      <c r="C14"/>
      <c r="D14"/>
      <c r="E14">
        <v>0.99399002238332801</v>
      </c>
      <c r="F14">
        <v>-0.91258459065239195</v>
      </c>
      <c r="G14">
        <v>11.4139160094598</v>
      </c>
      <c r="H14" s="4">
        <v>4.6036746400501003E-6</v>
      </c>
      <c r="I14" s="4">
        <v>4.9223905766689502E-5</v>
      </c>
      <c r="J14">
        <v>4.5108157497621004</v>
      </c>
      <c r="K14" t="s">
        <v>191</v>
      </c>
    </row>
    <row r="15" spans="1:11" ht="14.4" x14ac:dyDescent="0.3">
      <c r="A15">
        <v>52</v>
      </c>
      <c r="B15" t="s">
        <v>87</v>
      </c>
      <c r="C15" s="28" t="str">
        <f>VLOOKUP(B15,'Uniprot-API'!$A$1:$D$165,2,)</f>
        <v>LOC100855903</v>
      </c>
      <c r="D15" s="29" t="e">
        <f>VLOOKUP(B15,'BiomaRt Ensembl'!$A$1:$F$327,2,)</f>
        <v>#N/A</v>
      </c>
      <c r="E15" s="30">
        <v>-1.5366621745950999</v>
      </c>
      <c r="F15" s="30">
        <v>-0.591943660114152</v>
      </c>
      <c r="G15" s="30">
        <v>-3.50756334556741</v>
      </c>
      <c r="H15" s="30">
        <v>8.6247546996725006E-3</v>
      </c>
      <c r="I15" s="30">
        <v>2.3054632754893799E-2</v>
      </c>
      <c r="J15">
        <v>-3.73652662064727</v>
      </c>
      <c r="K15" t="s">
        <v>190</v>
      </c>
    </row>
    <row r="16" spans="1:11" ht="14.4" hidden="1" x14ac:dyDescent="0.3">
      <c r="A16">
        <v>15</v>
      </c>
      <c r="B16" t="s">
        <v>100</v>
      </c>
      <c r="C16"/>
      <c r="D16"/>
      <c r="E16">
        <v>0.93142076911875005</v>
      </c>
      <c r="F16">
        <v>-3.5621096096110398</v>
      </c>
      <c r="G16">
        <v>9.6587904927204704</v>
      </c>
      <c r="H16" s="4">
        <v>1.52668807759146E-5</v>
      </c>
      <c r="I16">
        <v>1.4147309519014199E-4</v>
      </c>
      <c r="J16">
        <v>3.19369653049421</v>
      </c>
      <c r="K16" t="s">
        <v>191</v>
      </c>
    </row>
    <row r="17" spans="1:11" ht="14.4" hidden="1" x14ac:dyDescent="0.3">
      <c r="A17">
        <v>16</v>
      </c>
      <c r="B17" t="s">
        <v>135</v>
      </c>
      <c r="C17"/>
      <c r="D17"/>
      <c r="E17">
        <v>0.82523095763647503</v>
      </c>
      <c r="F17">
        <v>-2.39418445563255</v>
      </c>
      <c r="G17">
        <v>9.5248615468210804</v>
      </c>
      <c r="H17" s="4">
        <v>1.6858121093869599E-5</v>
      </c>
      <c r="I17">
        <v>1.4645492700299199E-4</v>
      </c>
      <c r="J17">
        <v>3.0845369589865101</v>
      </c>
      <c r="K17" t="s">
        <v>191</v>
      </c>
    </row>
    <row r="18" spans="1:11" ht="14.4" hidden="1" x14ac:dyDescent="0.3">
      <c r="A18">
        <v>17</v>
      </c>
      <c r="B18" t="s">
        <v>106</v>
      </c>
      <c r="C18"/>
      <c r="D18"/>
      <c r="E18">
        <v>-0.77577914933139602</v>
      </c>
      <c r="F18">
        <v>-0.93677005776438804</v>
      </c>
      <c r="G18">
        <v>-8.6879868258744697</v>
      </c>
      <c r="H18" s="4">
        <v>3.2228340029481003E-5</v>
      </c>
      <c r="I18">
        <v>2.3263050015065901E-4</v>
      </c>
      <c r="J18">
        <v>2.3705478328092799</v>
      </c>
      <c r="K18" t="s">
        <v>191</v>
      </c>
    </row>
    <row r="19" spans="1:11" ht="14.4" hidden="1" x14ac:dyDescent="0.3">
      <c r="A19">
        <v>18</v>
      </c>
      <c r="B19" t="s">
        <v>142</v>
      </c>
      <c r="C19"/>
      <c r="D19"/>
      <c r="E19">
        <v>-0.74517999551553904</v>
      </c>
      <c r="F19">
        <v>-1.9873242110937901</v>
      </c>
      <c r="G19">
        <v>-8.6755778179752792</v>
      </c>
      <c r="H19" s="4">
        <v>3.2552204231735699E-5</v>
      </c>
      <c r="I19">
        <v>2.3263050015065901E-4</v>
      </c>
      <c r="J19">
        <v>2.3595254347388899</v>
      </c>
      <c r="K19" t="s">
        <v>191</v>
      </c>
    </row>
    <row r="20" spans="1:11" ht="14.4" hidden="1" x14ac:dyDescent="0.3">
      <c r="A20">
        <v>19</v>
      </c>
      <c r="B20" t="s">
        <v>94</v>
      </c>
      <c r="C20"/>
      <c r="D20"/>
      <c r="E20">
        <v>-0.74517999551553904</v>
      </c>
      <c r="F20">
        <v>-1.9873242110937901</v>
      </c>
      <c r="G20">
        <v>-8.6755778179752792</v>
      </c>
      <c r="H20" s="4">
        <v>3.2552204231735699E-5</v>
      </c>
      <c r="I20">
        <v>2.3263050015065901E-4</v>
      </c>
      <c r="J20">
        <v>2.3595254347388899</v>
      </c>
      <c r="K20" t="s">
        <v>191</v>
      </c>
    </row>
    <row r="21" spans="1:11" ht="14.4" hidden="1" x14ac:dyDescent="0.3">
      <c r="A21">
        <v>20</v>
      </c>
      <c r="B21" t="s">
        <v>130</v>
      </c>
      <c r="C21"/>
      <c r="D21"/>
      <c r="E21">
        <v>-0.745089912485427</v>
      </c>
      <c r="F21">
        <v>-2.4021664428939</v>
      </c>
      <c r="G21">
        <v>-8.5970727902871893</v>
      </c>
      <c r="H21" s="4">
        <v>3.4687556674357999E-5</v>
      </c>
      <c r="I21">
        <v>2.3263050015065901E-4</v>
      </c>
      <c r="J21">
        <v>2.28948311167008</v>
      </c>
      <c r="K21" t="s">
        <v>191</v>
      </c>
    </row>
    <row r="22" spans="1:11" ht="14.4" hidden="1" x14ac:dyDescent="0.3">
      <c r="A22">
        <v>21</v>
      </c>
      <c r="B22" t="s">
        <v>117</v>
      </c>
      <c r="C22"/>
      <c r="D22"/>
      <c r="E22">
        <v>-0.75073988792593604</v>
      </c>
      <c r="F22">
        <v>-1.2623622935718</v>
      </c>
      <c r="G22">
        <v>-8.5639385553576304</v>
      </c>
      <c r="H22" s="4">
        <v>3.56355109780525E-5</v>
      </c>
      <c r="I22">
        <v>2.3263050015065901E-4</v>
      </c>
      <c r="J22">
        <v>2.2597591566875499</v>
      </c>
      <c r="K22" t="s">
        <v>191</v>
      </c>
    </row>
    <row r="23" spans="1:11" ht="14.4" hidden="1" x14ac:dyDescent="0.3">
      <c r="A23">
        <v>22</v>
      </c>
      <c r="B23" t="s">
        <v>144</v>
      </c>
      <c r="C23"/>
      <c r="D23"/>
      <c r="E23">
        <v>-0.73448898472128099</v>
      </c>
      <c r="F23">
        <v>-2.2270077427332802</v>
      </c>
      <c r="G23">
        <v>-8.52392269710408</v>
      </c>
      <c r="H23" s="4">
        <v>3.6819215851183499E-5</v>
      </c>
      <c r="I23">
        <v>2.3263050015065901E-4</v>
      </c>
      <c r="J23">
        <v>2.22373299703627</v>
      </c>
      <c r="K23" t="s">
        <v>191</v>
      </c>
    </row>
    <row r="24" spans="1:11" ht="14.4" hidden="1" x14ac:dyDescent="0.3">
      <c r="A24">
        <v>23</v>
      </c>
      <c r="B24" t="s">
        <v>89</v>
      </c>
      <c r="C24"/>
      <c r="D24"/>
      <c r="E24">
        <v>-0.72606327282543504</v>
      </c>
      <c r="F24">
        <v>-2.07084520769603</v>
      </c>
      <c r="G24">
        <v>-8.4490332610959502</v>
      </c>
      <c r="H24" s="4">
        <v>3.9154643172055401E-5</v>
      </c>
      <c r="I24">
        <v>2.3663023482242199E-4</v>
      </c>
      <c r="J24">
        <v>2.15592843807815</v>
      </c>
      <c r="K24" t="s">
        <v>191</v>
      </c>
    </row>
    <row r="25" spans="1:11" ht="14.4" hidden="1" x14ac:dyDescent="0.3">
      <c r="A25">
        <v>24</v>
      </c>
      <c r="B25" t="s">
        <v>41</v>
      </c>
      <c r="C25"/>
      <c r="D25"/>
      <c r="E25">
        <v>-0.71351510184189004</v>
      </c>
      <c r="F25">
        <v>-1.80161684161227</v>
      </c>
      <c r="G25">
        <v>-8.2954392916078206</v>
      </c>
      <c r="H25" s="4">
        <v>4.4481549913078402E-5</v>
      </c>
      <c r="I25">
        <v>2.5762230991324599E-4</v>
      </c>
      <c r="J25">
        <v>2.0152855139054702</v>
      </c>
      <c r="K25" t="s">
        <v>191</v>
      </c>
    </row>
    <row r="26" spans="1:11" ht="14.4" hidden="1" x14ac:dyDescent="0.3">
      <c r="A26">
        <v>25</v>
      </c>
      <c r="B26" t="s">
        <v>137</v>
      </c>
      <c r="C26"/>
      <c r="D26"/>
      <c r="E26">
        <v>0.90987678904867597</v>
      </c>
      <c r="F26">
        <v>2.0097285035679202</v>
      </c>
      <c r="G26">
        <v>7.8440573307674999</v>
      </c>
      <c r="H26" s="4">
        <v>6.5461588447965799E-5</v>
      </c>
      <c r="I26">
        <v>3.6396643177069002E-4</v>
      </c>
      <c r="J26">
        <v>1.5892152750659601</v>
      </c>
      <c r="K26" t="s">
        <v>191</v>
      </c>
    </row>
    <row r="27" spans="1:11" ht="14.4" x14ac:dyDescent="0.3">
      <c r="A27">
        <v>54</v>
      </c>
      <c r="B27" t="s">
        <v>95</v>
      </c>
      <c r="C27" s="28">
        <f>VLOOKUP(B27,'Uniprot-API'!$A$1:$D$165,2,)</f>
        <v>0</v>
      </c>
      <c r="D27" s="29" t="e">
        <f>VLOOKUP(B27,'BiomaRt Ensembl'!$A$1:$F$327,2,)</f>
        <v>#N/A</v>
      </c>
      <c r="E27" s="30">
        <v>-1.00311974773422</v>
      </c>
      <c r="F27" s="30">
        <v>-1.4800091029472</v>
      </c>
      <c r="G27" s="30">
        <v>-3.43041827937336</v>
      </c>
      <c r="H27" s="30">
        <v>9.6282903894777897E-3</v>
      </c>
      <c r="I27" s="30">
        <v>2.4783932669211299E-2</v>
      </c>
      <c r="J27">
        <v>-3.8534986837186</v>
      </c>
      <c r="K27" t="s">
        <v>190</v>
      </c>
    </row>
    <row r="28" spans="1:11" ht="14.4" x14ac:dyDescent="0.3">
      <c r="A28">
        <v>57</v>
      </c>
      <c r="B28" t="s">
        <v>126</v>
      </c>
      <c r="C28" s="28" t="str">
        <f>VLOOKUP(B28,'Uniprot-API'!$A$1:$D$165,2,)</f>
        <v>VCP</v>
      </c>
      <c r="D28" s="29" t="str">
        <f>VLOOKUP(B28,'BiomaRt Ensembl'!$A$1:$F$327,2,)</f>
        <v>VCP</v>
      </c>
      <c r="E28" s="30">
        <v>-1.4865506173974199</v>
      </c>
      <c r="F28" s="30">
        <v>-2.4697975925264202</v>
      </c>
      <c r="G28" s="30">
        <v>-3.1637167182355799</v>
      </c>
      <c r="H28" s="30">
        <v>1.41715130634915E-2</v>
      </c>
      <c r="I28" s="30">
        <v>3.45586020320231E-2</v>
      </c>
      <c r="J28">
        <v>-4.2620293793904596</v>
      </c>
      <c r="K28" t="s">
        <v>190</v>
      </c>
    </row>
    <row r="29" spans="1:11" ht="14.4" x14ac:dyDescent="0.3">
      <c r="A29">
        <v>1</v>
      </c>
      <c r="B29" t="s">
        <v>147</v>
      </c>
      <c r="C29" s="28">
        <f>VLOOKUP(B29,'Uniprot-API'!$A$1:$D$165,2,)</f>
        <v>0</v>
      </c>
      <c r="D29" s="29" t="e">
        <f>VLOOKUP(B29,'BiomaRt Ensembl'!$A$1:$F$327,2,)</f>
        <v>#N/A</v>
      </c>
      <c r="E29" s="30">
        <v>2.3440167782081902</v>
      </c>
      <c r="F29" s="30">
        <v>-0.63530651770300295</v>
      </c>
      <c r="G29" s="30">
        <v>25.751997336269898</v>
      </c>
      <c r="H29" s="31">
        <v>1.0872364012676999E-8</v>
      </c>
      <c r="I29" s="31">
        <v>1.4529597352187601E-6</v>
      </c>
      <c r="J29">
        <v>10.9303076277545</v>
      </c>
      <c r="K29" t="s">
        <v>192</v>
      </c>
    </row>
    <row r="30" spans="1:11" ht="14.4" hidden="1" x14ac:dyDescent="0.3">
      <c r="A30">
        <v>29</v>
      </c>
      <c r="B30" t="s">
        <v>140</v>
      </c>
      <c r="C30"/>
      <c r="D30"/>
      <c r="E30">
        <v>0.63606945382885804</v>
      </c>
      <c r="F30">
        <v>-1.16745510153867</v>
      </c>
      <c r="G30">
        <v>7.2195509026180398</v>
      </c>
      <c r="H30">
        <v>1.15184686051604E-4</v>
      </c>
      <c r="I30">
        <v>5.52092115902516E-4</v>
      </c>
      <c r="J30">
        <v>0.96621778542256798</v>
      </c>
      <c r="K30" t="s">
        <v>191</v>
      </c>
    </row>
    <row r="31" spans="1:11" ht="14.4" hidden="1" x14ac:dyDescent="0.3">
      <c r="A31">
        <v>30</v>
      </c>
      <c r="B31" t="s">
        <v>42</v>
      </c>
      <c r="C31"/>
      <c r="D31"/>
      <c r="E31">
        <v>-0.86042529539173795</v>
      </c>
      <c r="F31">
        <v>-3.0808237172478998</v>
      </c>
      <c r="G31">
        <v>-7.0748000739004704</v>
      </c>
      <c r="H31">
        <v>1.3201780199529901E-4</v>
      </c>
      <c r="I31">
        <v>6.1168248257822098E-4</v>
      </c>
      <c r="J31">
        <v>0.815893122622256</v>
      </c>
      <c r="K31" t="s">
        <v>191</v>
      </c>
    </row>
    <row r="32" spans="1:11" ht="14.4" hidden="1" x14ac:dyDescent="0.3">
      <c r="A32">
        <v>31</v>
      </c>
      <c r="B32" t="s">
        <v>116</v>
      </c>
      <c r="C32"/>
      <c r="D32"/>
      <c r="E32">
        <v>0.62435832541460201</v>
      </c>
      <c r="F32">
        <v>-1.01723372914974</v>
      </c>
      <c r="G32">
        <v>7.0260874969914804</v>
      </c>
      <c r="H32">
        <v>1.38285517935436E-4</v>
      </c>
      <c r="I32">
        <v>6.2005441912986003E-4</v>
      </c>
      <c r="J32">
        <v>0.76478167613303705</v>
      </c>
      <c r="K32" t="s">
        <v>191</v>
      </c>
    </row>
    <row r="33" spans="1:11" ht="14.4" hidden="1" x14ac:dyDescent="0.3">
      <c r="A33">
        <v>32</v>
      </c>
      <c r="B33" t="s">
        <v>79</v>
      </c>
      <c r="C33"/>
      <c r="D33"/>
      <c r="E33">
        <v>0.58451090244434101</v>
      </c>
      <c r="F33">
        <v>-1.5150594555849299</v>
      </c>
      <c r="G33">
        <v>6.7430716119607199</v>
      </c>
      <c r="H33">
        <v>1.8195106313064399E-4</v>
      </c>
      <c r="I33">
        <v>7.9034993047373699E-4</v>
      </c>
      <c r="J33">
        <v>0.46248767720919698</v>
      </c>
      <c r="K33" t="s">
        <v>191</v>
      </c>
    </row>
    <row r="34" spans="1:11" ht="14.4" hidden="1" x14ac:dyDescent="0.3">
      <c r="A34">
        <v>33</v>
      </c>
      <c r="B34" t="s">
        <v>115</v>
      </c>
      <c r="C34"/>
      <c r="D34"/>
      <c r="E34">
        <v>0.57396045496789305</v>
      </c>
      <c r="F34">
        <v>-1.68377160521669</v>
      </c>
      <c r="G34">
        <v>6.6566627503606597</v>
      </c>
      <c r="H34">
        <v>1.98192617349238E-4</v>
      </c>
      <c r="I34">
        <v>8.3481132762254604E-4</v>
      </c>
      <c r="J34">
        <v>0.36833806125330998</v>
      </c>
      <c r="K34" t="s">
        <v>191</v>
      </c>
    </row>
    <row r="35" spans="1:11" ht="14.4" hidden="1" x14ac:dyDescent="0.3">
      <c r="A35">
        <v>34</v>
      </c>
      <c r="B35" t="s">
        <v>102</v>
      </c>
      <c r="C35"/>
      <c r="D35"/>
      <c r="E35">
        <v>0.56986066010185099</v>
      </c>
      <c r="F35">
        <v>-1.57483292032171</v>
      </c>
      <c r="G35">
        <v>6.58794886164163</v>
      </c>
      <c r="H35">
        <v>2.1226173690195099E-4</v>
      </c>
      <c r="I35">
        <v>8.6777592439327101E-4</v>
      </c>
      <c r="J35">
        <v>0.292835550238632</v>
      </c>
      <c r="K35" t="s">
        <v>191</v>
      </c>
    </row>
    <row r="36" spans="1:11" ht="14.4" hidden="1" x14ac:dyDescent="0.3">
      <c r="A36">
        <v>35</v>
      </c>
      <c r="B36" t="s">
        <v>37</v>
      </c>
      <c r="C36"/>
      <c r="D36"/>
      <c r="E36">
        <v>0.56042137494058497</v>
      </c>
      <c r="F36">
        <v>-1.87488705751975</v>
      </c>
      <c r="G36">
        <v>6.5215968398033199</v>
      </c>
      <c r="H36">
        <v>2.26907977295614E-4</v>
      </c>
      <c r="I36">
        <v>9.0114882411686801E-4</v>
      </c>
      <c r="J36">
        <v>0.21939019346643501</v>
      </c>
      <c r="K36" t="s">
        <v>191</v>
      </c>
    </row>
    <row r="37" spans="1:11" ht="14.4" hidden="1" x14ac:dyDescent="0.3">
      <c r="A37">
        <v>36</v>
      </c>
      <c r="B37" t="s">
        <v>24</v>
      </c>
      <c r="C37"/>
      <c r="D37"/>
      <c r="E37">
        <v>-0.56609268358728404</v>
      </c>
      <c r="F37">
        <v>-0.87564157786041596</v>
      </c>
      <c r="G37">
        <v>-6.3159502060660504</v>
      </c>
      <c r="H37">
        <v>2.79928309118441E-4</v>
      </c>
      <c r="I37">
        <v>1.0578421742335599E-3</v>
      </c>
      <c r="J37">
        <v>-1.16549492366467E-2</v>
      </c>
      <c r="K37" t="s">
        <v>191</v>
      </c>
    </row>
    <row r="38" spans="1:11" ht="14.4" hidden="1" x14ac:dyDescent="0.3">
      <c r="A38">
        <v>37</v>
      </c>
      <c r="B38" t="s">
        <v>149</v>
      </c>
      <c r="C38"/>
      <c r="D38"/>
      <c r="E38">
        <v>0.54241327767374703</v>
      </c>
      <c r="F38">
        <v>-2.09529171939618</v>
      </c>
      <c r="G38">
        <v>6.3102436574902701</v>
      </c>
      <c r="H38">
        <v>2.8158388810533701E-4</v>
      </c>
      <c r="I38">
        <v>1.0578421742335599E-3</v>
      </c>
      <c r="J38">
        <v>-1.8140875067334E-2</v>
      </c>
      <c r="K38" t="s">
        <v>191</v>
      </c>
    </row>
    <row r="39" spans="1:11" ht="14.4" hidden="1" x14ac:dyDescent="0.3">
      <c r="A39">
        <v>38</v>
      </c>
      <c r="B39" t="s">
        <v>25</v>
      </c>
      <c r="C39"/>
      <c r="D39"/>
      <c r="E39">
        <v>-0.52664622086781798</v>
      </c>
      <c r="F39">
        <v>-1.83367686209298</v>
      </c>
      <c r="G39">
        <v>-6.1257171228961802</v>
      </c>
      <c r="H39">
        <v>3.4144587408146498E-4</v>
      </c>
      <c r="I39">
        <v>1.24897306571904E-3</v>
      </c>
      <c r="J39">
        <v>-0.23008014843471</v>
      </c>
      <c r="K39" t="s">
        <v>191</v>
      </c>
    </row>
    <row r="40" spans="1:11" ht="14.4" x14ac:dyDescent="0.3">
      <c r="A40">
        <v>2</v>
      </c>
      <c r="B40" t="s">
        <v>66</v>
      </c>
      <c r="C40" s="28" t="str">
        <f>VLOOKUP(B40,'Uniprot-API'!$A$1:$D$165,2,)</f>
        <v>CALD1</v>
      </c>
      <c r="D40" s="29" t="str">
        <f>VLOOKUP(B40,'BiomaRt Ensembl'!$A$1:$F$327,2,)</f>
        <v>CALD1</v>
      </c>
      <c r="E40" s="30">
        <v>2.0313674882149999</v>
      </c>
      <c r="F40" s="30">
        <v>-1.79111619034328</v>
      </c>
      <c r="G40" s="30">
        <v>23.612951092509601</v>
      </c>
      <c r="H40" s="31">
        <v>2.0905895470773499E-8</v>
      </c>
      <c r="I40" s="31">
        <v>1.4529597352187601E-6</v>
      </c>
      <c r="J40">
        <v>10.2684354105737</v>
      </c>
      <c r="K40" t="s">
        <v>192</v>
      </c>
    </row>
    <row r="41" spans="1:11" ht="14.4" x14ac:dyDescent="0.3">
      <c r="A41">
        <v>4</v>
      </c>
      <c r="B41" t="s">
        <v>71</v>
      </c>
      <c r="C41" s="28">
        <f>VLOOKUP(B41,'Uniprot-API'!$A$1:$D$165,2,)</f>
        <v>0</v>
      </c>
      <c r="D41" s="29" t="e">
        <f>VLOOKUP(B41,'BiomaRt Ensembl'!$A$1:$F$327,2,)</f>
        <v>#N/A</v>
      </c>
      <c r="E41" s="30">
        <v>1.7621206414837001</v>
      </c>
      <c r="F41" s="30">
        <v>-1.5633983882334801</v>
      </c>
      <c r="G41" s="30">
        <v>20.363379084549798</v>
      </c>
      <c r="H41" s="31">
        <v>6.3625410809186596E-8</v>
      </c>
      <c r="I41" s="31">
        <v>2.21098302561923E-6</v>
      </c>
      <c r="J41">
        <v>9.1176080186268393</v>
      </c>
      <c r="K41" t="s">
        <v>192</v>
      </c>
    </row>
    <row r="42" spans="1:11" ht="14.4" x14ac:dyDescent="0.3">
      <c r="A42">
        <v>9</v>
      </c>
      <c r="B42" t="s">
        <v>104</v>
      </c>
      <c r="C42" s="28" t="str">
        <f>VLOOKUP(B42,'Uniprot-API'!$A$1:$D$165,2,)</f>
        <v>GALK1</v>
      </c>
      <c r="D42" s="29" t="str">
        <f>VLOOKUP(B42,'BiomaRt Ensembl'!$A$1:$F$327,2,)</f>
        <v>H3-3A</v>
      </c>
      <c r="E42" s="30">
        <v>1.3772796014117401</v>
      </c>
      <c r="F42" s="30">
        <v>0.243580177438941</v>
      </c>
      <c r="G42" s="30">
        <v>14.167998297932201</v>
      </c>
      <c r="H42" s="31">
        <v>9.4728529267630999E-7</v>
      </c>
      <c r="I42" s="31">
        <v>1.4630295075778601E-5</v>
      </c>
      <c r="J42">
        <v>6.2351333110770799</v>
      </c>
      <c r="K42" t="s">
        <v>192</v>
      </c>
    </row>
    <row r="43" spans="1:11" ht="14.4" hidden="1" x14ac:dyDescent="0.3">
      <c r="A43">
        <v>42</v>
      </c>
      <c r="B43" t="s">
        <v>111</v>
      </c>
      <c r="C43"/>
      <c r="D43"/>
      <c r="E43">
        <v>0.54865967385707204</v>
      </c>
      <c r="F43">
        <v>0.40074666323489999</v>
      </c>
      <c r="G43">
        <v>5.5692917298642799</v>
      </c>
      <c r="H43">
        <v>6.2631706516431301E-4</v>
      </c>
      <c r="I43">
        <v>2.0728112394723698E-3</v>
      </c>
      <c r="J43">
        <v>-0.89598471084380704</v>
      </c>
      <c r="K43" t="s">
        <v>191</v>
      </c>
    </row>
    <row r="44" spans="1:11" ht="14.4" hidden="1" x14ac:dyDescent="0.3">
      <c r="A44">
        <v>43</v>
      </c>
      <c r="B44" t="s">
        <v>91</v>
      </c>
      <c r="C44"/>
      <c r="D44"/>
      <c r="E44">
        <v>-0.47166504455340802</v>
      </c>
      <c r="F44">
        <v>-1.35884384777276</v>
      </c>
      <c r="G44">
        <v>-5.4057443024663101</v>
      </c>
      <c r="H44">
        <v>7.5429238557860197E-4</v>
      </c>
      <c r="I44">
        <v>2.4382939905913002E-3</v>
      </c>
      <c r="J44">
        <v>-1.09964533404374</v>
      </c>
      <c r="K44" t="s">
        <v>191</v>
      </c>
    </row>
    <row r="45" spans="1:11" ht="14.4" hidden="1" x14ac:dyDescent="0.3">
      <c r="A45">
        <v>44</v>
      </c>
      <c r="B45" t="s">
        <v>90</v>
      </c>
      <c r="C45"/>
      <c r="D45"/>
      <c r="E45">
        <v>0.50603204780725897</v>
      </c>
      <c r="F45">
        <v>3.0320200762772299E-2</v>
      </c>
      <c r="G45">
        <v>5.2964893698005504</v>
      </c>
      <c r="H45">
        <v>8.5575804476309501E-4</v>
      </c>
      <c r="I45">
        <v>2.7025289287894798E-3</v>
      </c>
      <c r="J45">
        <v>-1.2377619929280499</v>
      </c>
      <c r="K45" t="s">
        <v>191</v>
      </c>
    </row>
    <row r="46" spans="1:11" ht="14.4" hidden="1" x14ac:dyDescent="0.3">
      <c r="A46">
        <v>45</v>
      </c>
      <c r="B46" t="s">
        <v>151</v>
      </c>
      <c r="C46"/>
      <c r="D46"/>
      <c r="E46">
        <v>0.47278035307618899</v>
      </c>
      <c r="F46">
        <v>-2.9180522447791399</v>
      </c>
      <c r="G46">
        <v>5.2774637286380797</v>
      </c>
      <c r="H46">
        <v>8.7491943737788797E-4</v>
      </c>
      <c r="I46">
        <v>2.7025289287894798E-3</v>
      </c>
      <c r="J46">
        <v>-1.2619840689139801</v>
      </c>
      <c r="K46" t="s">
        <v>191</v>
      </c>
    </row>
    <row r="47" spans="1:11" ht="14.4" hidden="1" x14ac:dyDescent="0.3">
      <c r="A47">
        <v>46</v>
      </c>
      <c r="B47" t="s">
        <v>139</v>
      </c>
      <c r="C47"/>
      <c r="D47"/>
      <c r="E47">
        <v>0.48807038713492501</v>
      </c>
      <c r="F47">
        <v>-0.32653709858144098</v>
      </c>
      <c r="G47">
        <v>5.24843704967798</v>
      </c>
      <c r="H47">
        <v>9.0506971856584202E-4</v>
      </c>
      <c r="I47">
        <v>2.7348845843620001E-3</v>
      </c>
      <c r="J47">
        <v>-1.2990365476425401</v>
      </c>
      <c r="K47" t="s">
        <v>191</v>
      </c>
    </row>
    <row r="48" spans="1:11" ht="14.4" x14ac:dyDescent="0.3">
      <c r="A48">
        <v>11</v>
      </c>
      <c r="B48" t="s">
        <v>83</v>
      </c>
      <c r="C48" s="28" t="str">
        <f>VLOOKUP(B48,'Uniprot-API'!$A$1:$D$165,2,)</f>
        <v>FUBP1</v>
      </c>
      <c r="D48" s="29" t="str">
        <f>VLOOKUP(B48,'BiomaRt Ensembl'!$A$1:$F$327,2,)</f>
        <v>FUBP1</v>
      </c>
      <c r="E48" s="30">
        <v>1.1021459116041099</v>
      </c>
      <c r="F48" s="30">
        <v>-1.7414627671738101</v>
      </c>
      <c r="G48" s="30">
        <v>12.7995427684415</v>
      </c>
      <c r="H48" s="31">
        <v>1.9981636440993201E-6</v>
      </c>
      <c r="I48" s="31">
        <v>2.52495224118005E-5</v>
      </c>
      <c r="J48">
        <v>5.4234076396125896</v>
      </c>
      <c r="K48" t="s">
        <v>192</v>
      </c>
    </row>
    <row r="49" spans="1:11" ht="14.4" x14ac:dyDescent="0.3">
      <c r="A49">
        <v>12</v>
      </c>
      <c r="B49" t="s">
        <v>56</v>
      </c>
      <c r="C49" s="28" t="str">
        <f>VLOOKUP(B49,'Uniprot-API'!$A$1:$D$165,2,)</f>
        <v>SOD2</v>
      </c>
      <c r="D49" s="29" t="str">
        <f>VLOOKUP(B49,'BiomaRt Ensembl'!$A$1:$F$327,2,)</f>
        <v>SOD2</v>
      </c>
      <c r="E49" s="30">
        <v>1.51689455231353</v>
      </c>
      <c r="F49" s="30">
        <v>-1.04886763065033</v>
      </c>
      <c r="G49" s="30">
        <v>11.95278285537</v>
      </c>
      <c r="H49" s="31">
        <v>3.2931443316679501E-6</v>
      </c>
      <c r="I49" s="31">
        <v>3.8145588508487102E-5</v>
      </c>
      <c r="J49">
        <v>4.8776550528743599</v>
      </c>
      <c r="K49" t="s">
        <v>192</v>
      </c>
    </row>
    <row r="50" spans="1:11" ht="14.4" x14ac:dyDescent="0.3">
      <c r="A50">
        <v>14</v>
      </c>
      <c r="B50" t="s">
        <v>153</v>
      </c>
      <c r="C50" s="28" t="str">
        <f>VLOOKUP(B50,'Uniprot-API'!$A$1:$D$165,2,)</f>
        <v>NES</v>
      </c>
      <c r="D50" s="29" t="e">
        <f>VLOOKUP(B50,'BiomaRt Ensembl'!$A$1:$F$327,2,)</f>
        <v>#N/A</v>
      </c>
      <c r="E50" s="30">
        <v>1.0685534744934599</v>
      </c>
      <c r="F50" s="30">
        <v>-3.7560976444396599</v>
      </c>
      <c r="G50" s="30">
        <v>10.7648969694008</v>
      </c>
      <c r="H50" s="31">
        <v>7.0272546667707298E-6</v>
      </c>
      <c r="I50" s="31">
        <v>6.9770599905795102E-5</v>
      </c>
      <c r="J50">
        <v>4.0468338704463003</v>
      </c>
      <c r="K50" t="s">
        <v>192</v>
      </c>
    </row>
    <row r="51" spans="1:11" ht="14.4" hidden="1" x14ac:dyDescent="0.3">
      <c r="A51">
        <v>50</v>
      </c>
      <c r="B51" t="s">
        <v>108</v>
      </c>
      <c r="C51"/>
      <c r="D51"/>
      <c r="E51">
        <v>0.298055810303334</v>
      </c>
      <c r="F51">
        <v>-1.3364619233014301</v>
      </c>
      <c r="G51">
        <v>3.9822949230295102</v>
      </c>
      <c r="H51">
        <v>4.4627778659886699E-3</v>
      </c>
      <c r="I51">
        <v>1.24065224674485E-2</v>
      </c>
      <c r="J51">
        <v>-3.0314095272624302</v>
      </c>
      <c r="K51" t="s">
        <v>191</v>
      </c>
    </row>
    <row r="52" spans="1:11" ht="14.4" hidden="1" x14ac:dyDescent="0.3">
      <c r="A52">
        <v>51</v>
      </c>
      <c r="B52" t="s">
        <v>63</v>
      </c>
      <c r="C52"/>
      <c r="D52"/>
      <c r="E52">
        <v>0.50127480356240595</v>
      </c>
      <c r="F52">
        <v>-1.65340318425063</v>
      </c>
      <c r="G52">
        <v>3.6835730554192301</v>
      </c>
      <c r="H52">
        <v>6.7300970785623398E-3</v>
      </c>
      <c r="I52">
        <v>1.8342813606277798E-2</v>
      </c>
      <c r="J52">
        <v>-3.4720040778979002</v>
      </c>
      <c r="K52" t="s">
        <v>191</v>
      </c>
    </row>
    <row r="53" spans="1:11" ht="14.4" x14ac:dyDescent="0.3">
      <c r="A53">
        <v>39</v>
      </c>
      <c r="B53" t="s">
        <v>103</v>
      </c>
      <c r="C53" s="28" t="str">
        <f>VLOOKUP(B53,'Uniprot-API'!$A$1:$D$165,2,)</f>
        <v>H2BC26</v>
      </c>
      <c r="D53" s="29" t="e">
        <f>VLOOKUP(B53,'BiomaRt Ensembl'!$A$1:$F$327,2,)</f>
        <v>#N/A</v>
      </c>
      <c r="E53" s="30">
        <v>1.1215015236752499</v>
      </c>
      <c r="F53" s="30">
        <v>0.30329370904137198</v>
      </c>
      <c r="G53" s="30">
        <v>5.9434094886689497</v>
      </c>
      <c r="H53" s="30">
        <v>4.1474782872140002E-4</v>
      </c>
      <c r="I53" s="30">
        <v>1.47820379980191E-3</v>
      </c>
      <c r="J53">
        <v>-0.44375330706810601</v>
      </c>
      <c r="K53" t="s">
        <v>192</v>
      </c>
    </row>
    <row r="54" spans="1:11" ht="14.4" hidden="1" x14ac:dyDescent="0.3">
      <c r="A54">
        <v>53</v>
      </c>
      <c r="B54" t="s">
        <v>150</v>
      </c>
      <c r="C54"/>
      <c r="D54"/>
      <c r="E54">
        <v>-0.49351412102285203</v>
      </c>
      <c r="F54">
        <v>3.6249030295336899</v>
      </c>
      <c r="G54">
        <v>-3.4608805089671399</v>
      </c>
      <c r="H54">
        <v>9.2178916672825406E-3</v>
      </c>
      <c r="I54">
        <v>2.4175225316080601E-2</v>
      </c>
      <c r="J54">
        <v>-3.8072390489233299</v>
      </c>
      <c r="K54" t="s">
        <v>191</v>
      </c>
    </row>
    <row r="55" spans="1:11" ht="14.4" x14ac:dyDescent="0.3">
      <c r="A55">
        <v>40</v>
      </c>
      <c r="B55" t="s">
        <v>49</v>
      </c>
      <c r="C55" s="28" t="str">
        <f>VLOOKUP(B55,'Uniprot-API'!$A$1:$D$165,2,)</f>
        <v>DCN</v>
      </c>
      <c r="D55" s="29" t="str">
        <f>VLOOKUP(B55,'BiomaRt Ensembl'!$A$1:$F$327,2,)</f>
        <v>DCN</v>
      </c>
      <c r="E55" s="30">
        <v>1.0084109808585699</v>
      </c>
      <c r="F55" s="30">
        <v>-0.405278099753765</v>
      </c>
      <c r="G55" s="30">
        <v>5.77419178500306</v>
      </c>
      <c r="H55" s="30">
        <v>4.9864152536901703E-4</v>
      </c>
      <c r="I55" s="30">
        <v>1.73277930065733E-3</v>
      </c>
      <c r="J55">
        <v>-0.64598115681546497</v>
      </c>
      <c r="K55" t="s">
        <v>192</v>
      </c>
    </row>
    <row r="56" spans="1:11" ht="14.4" hidden="1" x14ac:dyDescent="0.3">
      <c r="A56">
        <v>55</v>
      </c>
      <c r="B56" t="s">
        <v>119</v>
      </c>
      <c r="C56"/>
      <c r="D56"/>
      <c r="E56">
        <v>-0.67091052044132504</v>
      </c>
      <c r="F56">
        <v>-2.0244589486309001</v>
      </c>
      <c r="G56">
        <v>-3.3230889896950102</v>
      </c>
      <c r="H56">
        <v>1.12364556169259E-2</v>
      </c>
      <c r="I56">
        <v>2.8397587831867199E-2</v>
      </c>
      <c r="J56">
        <v>-4.0171846382056504</v>
      </c>
      <c r="K56" t="s">
        <v>191</v>
      </c>
    </row>
    <row r="57" spans="1:11" ht="14.4" hidden="1" x14ac:dyDescent="0.3">
      <c r="A57">
        <v>56</v>
      </c>
      <c r="B57" t="s">
        <v>47</v>
      </c>
      <c r="C57"/>
      <c r="D57"/>
      <c r="E57">
        <v>-0.37729785053312798</v>
      </c>
      <c r="F57">
        <v>-1.44593007182095</v>
      </c>
      <c r="G57">
        <v>-3.2052958923470101</v>
      </c>
      <c r="H57">
        <v>1.3334910983591E-2</v>
      </c>
      <c r="I57">
        <v>3.3099154048556102E-2</v>
      </c>
      <c r="J57">
        <v>-4.1979651459964398</v>
      </c>
      <c r="K57" t="s">
        <v>191</v>
      </c>
    </row>
    <row r="58" spans="1:11" ht="14.4" x14ac:dyDescent="0.3">
      <c r="A58">
        <v>48</v>
      </c>
      <c r="B58" t="s">
        <v>118</v>
      </c>
      <c r="C58" s="28" t="str">
        <f>VLOOKUP(B58,'Uniprot-API'!$A$1:$D$165,2,)</f>
        <v>PSMB1</v>
      </c>
      <c r="D58" s="29" t="str">
        <f>VLOOKUP(B58,'BiomaRt Ensembl'!$A$1:$F$327,2,)</f>
        <v>PSMB1</v>
      </c>
      <c r="E58" s="30">
        <v>1.4300428621776</v>
      </c>
      <c r="F58" s="30">
        <v>-0.69032032349258299</v>
      </c>
      <c r="G58" s="30">
        <v>4.5914687531009397</v>
      </c>
      <c r="H58" s="30">
        <v>2.0114786679047598E-3</v>
      </c>
      <c r="I58" s="30">
        <v>5.8249069758075298E-3</v>
      </c>
      <c r="J58">
        <v>-2.1696316868036498</v>
      </c>
      <c r="K58" t="s">
        <v>192</v>
      </c>
    </row>
    <row r="59" spans="1:11" ht="14.4" hidden="1" x14ac:dyDescent="0.3">
      <c r="A59">
        <v>58</v>
      </c>
      <c r="B59" t="s">
        <v>141</v>
      </c>
      <c r="C59"/>
      <c r="D59"/>
      <c r="E59">
        <v>-0.43252153518634401</v>
      </c>
      <c r="F59">
        <v>-1.5116410825515101</v>
      </c>
      <c r="G59">
        <v>-3.1071551136825599</v>
      </c>
      <c r="H59">
        <v>1.53995479627377E-2</v>
      </c>
      <c r="I59">
        <v>3.69058132210437E-2</v>
      </c>
      <c r="J59">
        <v>-4.3493643858889603</v>
      </c>
      <c r="K59" t="s">
        <v>191</v>
      </c>
    </row>
    <row r="60" spans="1:11" ht="14.4" hidden="1" x14ac:dyDescent="0.3">
      <c r="A60">
        <v>59</v>
      </c>
      <c r="B60" t="s">
        <v>122</v>
      </c>
      <c r="C60"/>
      <c r="D60"/>
      <c r="E60">
        <v>-0.60846083511140903</v>
      </c>
      <c r="F60">
        <v>-4.7885695664419003</v>
      </c>
      <c r="G60">
        <v>-3.0007049857928898</v>
      </c>
      <c r="H60">
        <v>1.80244863876751E-2</v>
      </c>
      <c r="I60">
        <v>4.1770955278111803E-2</v>
      </c>
      <c r="J60">
        <v>-4.51423262897036</v>
      </c>
      <c r="K60" t="s">
        <v>191</v>
      </c>
    </row>
    <row r="61" spans="1:11" ht="14.4" hidden="1" x14ac:dyDescent="0.3">
      <c r="A61">
        <v>60</v>
      </c>
      <c r="B61" t="s">
        <v>54</v>
      </c>
      <c r="C61"/>
      <c r="D61"/>
      <c r="E61">
        <v>-0.58125714377222104</v>
      </c>
      <c r="F61">
        <v>-1.8609823235451799</v>
      </c>
      <c r="G61">
        <v>-3.0004754747320499</v>
      </c>
      <c r="H61">
        <v>1.80306281776022E-2</v>
      </c>
      <c r="I61">
        <v>4.1770955278111803E-2</v>
      </c>
      <c r="J61">
        <v>-4.5145887042148702</v>
      </c>
      <c r="K61" t="s">
        <v>191</v>
      </c>
    </row>
    <row r="62" spans="1:11" ht="14.4" hidden="1" x14ac:dyDescent="0.3">
      <c r="A62">
        <v>61</v>
      </c>
      <c r="B62" t="s">
        <v>113</v>
      </c>
      <c r="C62"/>
      <c r="D62"/>
      <c r="E62">
        <v>0.313958702582052</v>
      </c>
      <c r="F62">
        <v>1.1491986623978601</v>
      </c>
      <c r="G62">
        <v>2.9714375289284001</v>
      </c>
      <c r="H62">
        <v>1.88256657370235E-2</v>
      </c>
      <c r="I62">
        <v>4.2897828482725602E-2</v>
      </c>
      <c r="J62">
        <v>-4.5596579806406003</v>
      </c>
      <c r="K62" t="s">
        <v>191</v>
      </c>
    </row>
    <row r="63" spans="1:11" ht="14.4" hidden="1" x14ac:dyDescent="0.3">
      <c r="A63">
        <v>62</v>
      </c>
      <c r="B63" t="s">
        <v>138</v>
      </c>
      <c r="C63"/>
      <c r="D63"/>
      <c r="E63">
        <v>0.935178855161789</v>
      </c>
      <c r="F63">
        <v>-3.1457933148919999</v>
      </c>
      <c r="G63">
        <v>2.8936910870674502</v>
      </c>
      <c r="H63">
        <v>2.1140175532572001E-2</v>
      </c>
      <c r="I63">
        <v>4.7394909661734E-2</v>
      </c>
      <c r="J63">
        <v>-4.6804817030700896</v>
      </c>
      <c r="K63" t="s">
        <v>191</v>
      </c>
    </row>
    <row r="64" spans="1:11" ht="14.4" hidden="1" x14ac:dyDescent="0.3">
      <c r="A64">
        <v>63</v>
      </c>
      <c r="B64" t="s">
        <v>51</v>
      </c>
      <c r="C64"/>
      <c r="D64"/>
      <c r="E64">
        <v>-0.465405470185</v>
      </c>
      <c r="F64">
        <v>-1.80542758348383</v>
      </c>
      <c r="G64">
        <v>-2.8280423622165798</v>
      </c>
      <c r="H64">
        <v>2.3325407841451502E-2</v>
      </c>
      <c r="I64">
        <v>5.1463995078758103E-2</v>
      </c>
      <c r="J64">
        <v>-4.7826340350179901</v>
      </c>
      <c r="K64" t="s">
        <v>191</v>
      </c>
    </row>
    <row r="65" spans="1:11" ht="14.4" hidden="1" x14ac:dyDescent="0.3">
      <c r="A65">
        <v>64</v>
      </c>
      <c r="B65" t="s">
        <v>112</v>
      </c>
      <c r="C65"/>
      <c r="D65"/>
      <c r="E65">
        <v>0.67390584757546002</v>
      </c>
      <c r="F65">
        <v>-2.4698470106630599</v>
      </c>
      <c r="G65">
        <v>2.7136557648888502</v>
      </c>
      <c r="H65">
        <v>2.7711434141208299E-2</v>
      </c>
      <c r="I65">
        <v>6.01857710254367E-2</v>
      </c>
      <c r="J65">
        <v>-4.9607435295605198</v>
      </c>
      <c r="K65" t="s">
        <v>191</v>
      </c>
    </row>
    <row r="66" spans="1:11" ht="14.4" hidden="1" x14ac:dyDescent="0.3">
      <c r="A66">
        <v>65</v>
      </c>
      <c r="B66" t="s">
        <v>20</v>
      </c>
      <c r="C66"/>
      <c r="D66"/>
      <c r="E66">
        <v>0.69813024104119104</v>
      </c>
      <c r="F66">
        <v>2.7526117211029901</v>
      </c>
      <c r="G66">
        <v>2.5752090250359099</v>
      </c>
      <c r="H66">
        <v>3.4182137719855898E-2</v>
      </c>
      <c r="I66">
        <v>7.2495213260740099E-2</v>
      </c>
      <c r="J66">
        <v>-5.17613416407898</v>
      </c>
      <c r="K66" t="s">
        <v>191</v>
      </c>
    </row>
    <row r="67" spans="1:11" ht="14.4" hidden="1" x14ac:dyDescent="0.3">
      <c r="A67">
        <v>66</v>
      </c>
      <c r="B67" t="s">
        <v>136</v>
      </c>
      <c r="C67"/>
      <c r="D67"/>
      <c r="E67">
        <v>-1.27375040906307</v>
      </c>
      <c r="F67">
        <v>-3.8156037590993801</v>
      </c>
      <c r="G67">
        <v>-2.5618536257321098</v>
      </c>
      <c r="H67">
        <v>3.48834144327754E-2</v>
      </c>
      <c r="I67">
        <v>7.2495213260740099E-2</v>
      </c>
      <c r="J67">
        <v>-5.1968811275381102</v>
      </c>
      <c r="K67" t="s">
        <v>191</v>
      </c>
    </row>
    <row r="68" spans="1:11" ht="14.4" hidden="1" x14ac:dyDescent="0.3">
      <c r="A68">
        <v>67</v>
      </c>
      <c r="B68" t="s">
        <v>124</v>
      </c>
      <c r="C68"/>
      <c r="D68"/>
      <c r="E68">
        <v>0.395590434023257</v>
      </c>
      <c r="F68">
        <v>0.21211257139672299</v>
      </c>
      <c r="G68">
        <v>2.56071771027759</v>
      </c>
      <c r="H68">
        <v>3.4943735888270398E-2</v>
      </c>
      <c r="I68">
        <v>7.2495213260740099E-2</v>
      </c>
      <c r="J68">
        <v>-5.1986453644534301</v>
      </c>
      <c r="K68" t="s">
        <v>191</v>
      </c>
    </row>
    <row r="69" spans="1:11" ht="14.4" hidden="1" x14ac:dyDescent="0.3">
      <c r="A69">
        <v>68</v>
      </c>
      <c r="B69" t="s">
        <v>84</v>
      </c>
      <c r="C69"/>
      <c r="D69"/>
      <c r="E69">
        <v>1.0255689092489499</v>
      </c>
      <c r="F69">
        <v>-1.4579673780761599</v>
      </c>
      <c r="G69">
        <v>2.53453479661423</v>
      </c>
      <c r="H69">
        <v>3.6364131803154599E-2</v>
      </c>
      <c r="I69">
        <v>7.4332563538801202E-2</v>
      </c>
      <c r="J69">
        <v>-5.2392945759189598</v>
      </c>
      <c r="K69" t="s">
        <v>191</v>
      </c>
    </row>
    <row r="70" spans="1:11" ht="14.4" hidden="1" x14ac:dyDescent="0.3">
      <c r="A70">
        <v>69</v>
      </c>
      <c r="B70" t="s">
        <v>131</v>
      </c>
      <c r="C70"/>
      <c r="D70"/>
      <c r="E70">
        <v>-0.69747809893319102</v>
      </c>
      <c r="F70">
        <v>0.44446970400443098</v>
      </c>
      <c r="G70">
        <v>-2.4574752235344999</v>
      </c>
      <c r="H70">
        <v>4.0896323028951097E-2</v>
      </c>
      <c r="I70">
        <v>8.1618501671571905E-2</v>
      </c>
      <c r="J70">
        <v>-5.3587101124223198</v>
      </c>
      <c r="K70" t="s">
        <v>191</v>
      </c>
    </row>
    <row r="71" spans="1:11" ht="14.4" hidden="1" x14ac:dyDescent="0.3">
      <c r="A71">
        <v>70</v>
      </c>
      <c r="B71" t="s">
        <v>132</v>
      </c>
      <c r="C71"/>
      <c r="D71"/>
      <c r="E71">
        <v>0.61089962109596097</v>
      </c>
      <c r="F71">
        <v>1.56821741566601</v>
      </c>
      <c r="G71">
        <v>2.4541742521370198</v>
      </c>
      <c r="H71">
        <v>4.1102842568417501E-2</v>
      </c>
      <c r="I71">
        <v>8.1618501671571905E-2</v>
      </c>
      <c r="J71">
        <v>-5.3638168673534397</v>
      </c>
      <c r="K71" t="s">
        <v>191</v>
      </c>
    </row>
    <row r="72" spans="1:11" ht="14.4" hidden="1" x14ac:dyDescent="0.3">
      <c r="A72">
        <v>71</v>
      </c>
      <c r="B72" t="s">
        <v>39</v>
      </c>
      <c r="C72"/>
      <c r="D72"/>
      <c r="E72">
        <v>0.96324599424187596</v>
      </c>
      <c r="F72">
        <v>-2.2952285385601798</v>
      </c>
      <c r="G72">
        <v>2.4368862627337999</v>
      </c>
      <c r="H72">
        <v>4.2201870258029898E-2</v>
      </c>
      <c r="I72">
        <v>8.2196929055910903E-2</v>
      </c>
      <c r="J72">
        <v>-5.3905490409356496</v>
      </c>
      <c r="K72" t="s">
        <v>191</v>
      </c>
    </row>
    <row r="73" spans="1:11" ht="14.4" hidden="1" x14ac:dyDescent="0.3">
      <c r="A73">
        <v>72</v>
      </c>
      <c r="B73" t="s">
        <v>80</v>
      </c>
      <c r="C73"/>
      <c r="D73"/>
      <c r="E73">
        <v>0.291244507552886</v>
      </c>
      <c r="F73">
        <v>-2.1469134691994198</v>
      </c>
      <c r="G73">
        <v>2.4275940692187401</v>
      </c>
      <c r="H73">
        <v>4.2804871462508803E-2</v>
      </c>
      <c r="I73">
        <v>8.2196929055910903E-2</v>
      </c>
      <c r="J73">
        <v>-5.4049079598806999</v>
      </c>
      <c r="K73" t="s">
        <v>191</v>
      </c>
    </row>
    <row r="74" spans="1:11" ht="14.4" hidden="1" x14ac:dyDescent="0.3">
      <c r="A74">
        <v>73</v>
      </c>
      <c r="B74" t="s">
        <v>97</v>
      </c>
      <c r="C74"/>
      <c r="D74"/>
      <c r="E74">
        <v>-0.35955948752416</v>
      </c>
      <c r="F74">
        <v>-3.3548909837622798</v>
      </c>
      <c r="G74">
        <v>-2.4143589374525898</v>
      </c>
      <c r="H74">
        <v>4.3678864510763103E-2</v>
      </c>
      <c r="I74">
        <v>8.2196929055910903E-2</v>
      </c>
      <c r="J74">
        <v>-5.42534777437261</v>
      </c>
      <c r="K74" t="s">
        <v>191</v>
      </c>
    </row>
    <row r="75" spans="1:11" ht="14.4" hidden="1" x14ac:dyDescent="0.3">
      <c r="A75">
        <v>74</v>
      </c>
      <c r="B75" t="s">
        <v>134</v>
      </c>
      <c r="C75"/>
      <c r="D75"/>
      <c r="E75">
        <v>0.48079566949166103</v>
      </c>
      <c r="F75">
        <v>-1.46741573653749</v>
      </c>
      <c r="G75">
        <v>2.41285520176285</v>
      </c>
      <c r="H75">
        <v>4.37793025577001E-2</v>
      </c>
      <c r="I75">
        <v>8.2196929055910903E-2</v>
      </c>
      <c r="J75">
        <v>-5.4276691669246899</v>
      </c>
      <c r="K75" t="s">
        <v>191</v>
      </c>
    </row>
    <row r="76" spans="1:11" ht="14.4" hidden="1" x14ac:dyDescent="0.3">
      <c r="A76">
        <v>75</v>
      </c>
      <c r="B76" t="s">
        <v>74</v>
      </c>
      <c r="C76"/>
      <c r="D76"/>
      <c r="E76">
        <v>0.33774064333821702</v>
      </c>
      <c r="F76">
        <v>-2.9855720996481301</v>
      </c>
      <c r="G76">
        <v>2.4043639359912499</v>
      </c>
      <c r="H76">
        <v>4.4350861001390803E-2</v>
      </c>
      <c r="I76">
        <v>8.2196929055910903E-2</v>
      </c>
      <c r="J76">
        <v>-5.4407739529041903</v>
      </c>
      <c r="K76" t="s">
        <v>191</v>
      </c>
    </row>
    <row r="77" spans="1:11" ht="14.4" hidden="1" x14ac:dyDescent="0.3">
      <c r="A77">
        <v>76</v>
      </c>
      <c r="B77" t="s">
        <v>29</v>
      </c>
      <c r="C77"/>
      <c r="D77"/>
      <c r="E77">
        <v>0.45377615769824298</v>
      </c>
      <c r="F77">
        <v>-1.2944473081966701</v>
      </c>
      <c r="G77">
        <v>2.3136246549843098</v>
      </c>
      <c r="H77">
        <v>5.0950337744865001E-2</v>
      </c>
      <c r="I77">
        <v>9.3185486138634602E-2</v>
      </c>
      <c r="J77">
        <v>-5.5803860724009304</v>
      </c>
      <c r="K77" t="s">
        <v>191</v>
      </c>
    </row>
    <row r="78" spans="1:11" ht="14.4" hidden="1" x14ac:dyDescent="0.3">
      <c r="A78">
        <v>77</v>
      </c>
      <c r="B78" t="s">
        <v>40</v>
      </c>
      <c r="C78"/>
      <c r="D78"/>
      <c r="E78">
        <v>-0.76411919465445099</v>
      </c>
      <c r="F78">
        <v>-2.1387195334976399</v>
      </c>
      <c r="G78">
        <v>-2.2724339722303601</v>
      </c>
      <c r="H78">
        <v>5.4264168500978399E-2</v>
      </c>
      <c r="I78">
        <v>9.79573950861818E-2</v>
      </c>
      <c r="J78">
        <v>-5.6434646357590204</v>
      </c>
      <c r="K78" t="s">
        <v>191</v>
      </c>
    </row>
    <row r="79" spans="1:11" ht="14.4" hidden="1" x14ac:dyDescent="0.3">
      <c r="A79">
        <v>78</v>
      </c>
      <c r="B79" t="s">
        <v>88</v>
      </c>
      <c r="C79"/>
      <c r="D79"/>
      <c r="E79">
        <v>-0.97757626609705095</v>
      </c>
      <c r="F79">
        <v>-1.82367051113554</v>
      </c>
      <c r="G79">
        <v>-2.20243806706182</v>
      </c>
      <c r="H79">
        <v>6.0397644431964E-2</v>
      </c>
      <c r="I79">
        <v>0.107631699692859</v>
      </c>
      <c r="J79">
        <v>-5.7501435720943004</v>
      </c>
      <c r="K79" t="s">
        <v>191</v>
      </c>
    </row>
    <row r="80" spans="1:11" ht="14.4" hidden="1" x14ac:dyDescent="0.3">
      <c r="A80">
        <v>79</v>
      </c>
      <c r="B80" t="s">
        <v>110</v>
      </c>
      <c r="C80"/>
      <c r="D80"/>
      <c r="E80">
        <v>0.67171276154982296</v>
      </c>
      <c r="F80">
        <v>-1.3719571905084</v>
      </c>
      <c r="G80">
        <v>2.19284007391333</v>
      </c>
      <c r="H80">
        <v>6.1290906171828301E-2</v>
      </c>
      <c r="I80">
        <v>0.107840961492204</v>
      </c>
      <c r="J80">
        <v>-5.7647162020296401</v>
      </c>
      <c r="K80" t="s">
        <v>191</v>
      </c>
    </row>
    <row r="81" spans="1:11" ht="14.4" hidden="1" x14ac:dyDescent="0.3">
      <c r="A81">
        <v>80</v>
      </c>
      <c r="B81" t="s">
        <v>155</v>
      </c>
      <c r="C81"/>
      <c r="D81"/>
      <c r="E81">
        <v>0.23956192248538699</v>
      </c>
      <c r="F81">
        <v>-3.1720339548029202</v>
      </c>
      <c r="G81">
        <v>2.1365520007788201</v>
      </c>
      <c r="H81">
        <v>6.6799857979032498E-2</v>
      </c>
      <c r="I81">
        <v>0.116064753238569</v>
      </c>
      <c r="J81">
        <v>-5.84987966455662</v>
      </c>
      <c r="K81" t="s">
        <v>191</v>
      </c>
    </row>
    <row r="82" spans="1:11" ht="14.4" hidden="1" x14ac:dyDescent="0.3">
      <c r="A82">
        <v>81</v>
      </c>
      <c r="B82" t="s">
        <v>57</v>
      </c>
      <c r="C82"/>
      <c r="D82"/>
      <c r="E82">
        <v>0.69274500790230698</v>
      </c>
      <c r="F82">
        <v>-4.0066126966402598</v>
      </c>
      <c r="G82">
        <v>2.0199146429963699</v>
      </c>
      <c r="H82">
        <v>7.9817453867171401E-2</v>
      </c>
      <c r="I82">
        <v>0.136970692438726</v>
      </c>
      <c r="J82">
        <v>-6.0244983161107601</v>
      </c>
      <c r="K82" t="s">
        <v>191</v>
      </c>
    </row>
    <row r="83" spans="1:11" ht="14.4" hidden="1" x14ac:dyDescent="0.3">
      <c r="A83">
        <v>82</v>
      </c>
      <c r="B83" t="s">
        <v>38</v>
      </c>
      <c r="C83"/>
      <c r="D83"/>
      <c r="E83">
        <v>0.92385166309367495</v>
      </c>
      <c r="F83">
        <v>0.116882715797914</v>
      </c>
      <c r="G83">
        <v>1.9458512716349201</v>
      </c>
      <c r="H83">
        <v>8.9339049120911104E-2</v>
      </c>
      <c r="I83">
        <v>0.15144058326593501</v>
      </c>
      <c r="J83">
        <v>-6.1338538671160903</v>
      </c>
      <c r="K83" t="s">
        <v>191</v>
      </c>
    </row>
    <row r="84" spans="1:11" ht="14.4" hidden="1" x14ac:dyDescent="0.3">
      <c r="A84">
        <v>83</v>
      </c>
      <c r="B84" t="s">
        <v>133</v>
      </c>
      <c r="C84"/>
      <c r="D84"/>
      <c r="E84">
        <v>0.52465024403230898</v>
      </c>
      <c r="F84">
        <v>-1.8927726229738899</v>
      </c>
      <c r="G84">
        <v>1.8478225420683301</v>
      </c>
      <c r="H84">
        <v>0.103643926989581</v>
      </c>
      <c r="I84">
        <v>0.17357235965725001</v>
      </c>
      <c r="J84">
        <v>-6.2764331656810102</v>
      </c>
      <c r="K84" t="s">
        <v>191</v>
      </c>
    </row>
    <row r="85" spans="1:11" ht="14.4" hidden="1" x14ac:dyDescent="0.3">
      <c r="A85">
        <v>84</v>
      </c>
      <c r="B85" t="s">
        <v>27</v>
      </c>
      <c r="C85"/>
      <c r="D85"/>
      <c r="E85">
        <v>0.448748474251289</v>
      </c>
      <c r="F85">
        <v>-0.648868042417868</v>
      </c>
      <c r="G85">
        <v>1.82395554047037</v>
      </c>
      <c r="H85">
        <v>0.107445649182963</v>
      </c>
      <c r="I85">
        <v>0.17779696710038001</v>
      </c>
      <c r="J85">
        <v>-6.3107320964269702</v>
      </c>
      <c r="K85" t="s">
        <v>191</v>
      </c>
    </row>
    <row r="86" spans="1:11" ht="14.4" hidden="1" x14ac:dyDescent="0.3">
      <c r="A86">
        <v>85</v>
      </c>
      <c r="B86" t="s">
        <v>92</v>
      </c>
      <c r="C86"/>
      <c r="D86"/>
      <c r="E86">
        <v>0.239679316548914</v>
      </c>
      <c r="F86">
        <v>-2.3246190507008699</v>
      </c>
      <c r="G86">
        <v>1.76523238259611</v>
      </c>
      <c r="H86">
        <v>0.117372062390937</v>
      </c>
      <c r="I86">
        <v>0.19193784320400201</v>
      </c>
      <c r="J86">
        <v>-6.3943634627920698</v>
      </c>
      <c r="K86" t="s">
        <v>191</v>
      </c>
    </row>
    <row r="87" spans="1:11" ht="14.4" hidden="1" x14ac:dyDescent="0.3">
      <c r="A87">
        <v>86</v>
      </c>
      <c r="B87" t="s">
        <v>52</v>
      </c>
      <c r="C87"/>
      <c r="D87"/>
      <c r="E87">
        <v>-0.56617923785143998</v>
      </c>
      <c r="F87">
        <v>-4.5603099890840104</v>
      </c>
      <c r="G87">
        <v>-1.6958204053991199</v>
      </c>
      <c r="H87">
        <v>0.130220895506718</v>
      </c>
      <c r="I87">
        <v>0.20982543104243301</v>
      </c>
      <c r="J87">
        <v>-6.4917176191779804</v>
      </c>
      <c r="K87" t="s">
        <v>191</v>
      </c>
    </row>
    <row r="88" spans="1:11" ht="14.4" hidden="1" x14ac:dyDescent="0.3">
      <c r="A88">
        <v>87</v>
      </c>
      <c r="B88" t="s">
        <v>44</v>
      </c>
      <c r="C88"/>
      <c r="D88"/>
      <c r="E88">
        <v>-0.35459995240837999</v>
      </c>
      <c r="F88">
        <v>-4.8120403203696096</v>
      </c>
      <c r="G88">
        <v>-1.69013563364386</v>
      </c>
      <c r="H88">
        <v>0.13132958633591099</v>
      </c>
      <c r="I88">
        <v>0.20982543104243301</v>
      </c>
      <c r="J88">
        <v>-6.4996141557231404</v>
      </c>
      <c r="K88" t="s">
        <v>191</v>
      </c>
    </row>
    <row r="89" spans="1:11" ht="14.4" hidden="1" x14ac:dyDescent="0.3">
      <c r="A89">
        <v>88</v>
      </c>
      <c r="B89" t="s">
        <v>99</v>
      </c>
      <c r="C89"/>
      <c r="D89"/>
      <c r="E89">
        <v>-0.55289096208327504</v>
      </c>
      <c r="F89">
        <v>-0.96065664058561095</v>
      </c>
      <c r="G89">
        <v>-1.65781078133889</v>
      </c>
      <c r="H89">
        <v>0.13780280288510799</v>
      </c>
      <c r="I89">
        <v>0.21766579092079499</v>
      </c>
      <c r="J89">
        <v>-6.5442838465376996</v>
      </c>
      <c r="K89" t="s">
        <v>191</v>
      </c>
    </row>
    <row r="90" spans="1:11" ht="14.4" hidden="1" x14ac:dyDescent="0.3">
      <c r="A90">
        <v>89</v>
      </c>
      <c r="B90" t="s">
        <v>21</v>
      </c>
      <c r="C90"/>
      <c r="D90"/>
      <c r="E90">
        <v>0.79482155832413803</v>
      </c>
      <c r="F90">
        <v>-2.5130582579410201</v>
      </c>
      <c r="G90">
        <v>1.60203809819693</v>
      </c>
      <c r="H90">
        <v>0.14967093409546001</v>
      </c>
      <c r="I90">
        <v>0.23375572853111101</v>
      </c>
      <c r="J90">
        <v>-6.6203898251984103</v>
      </c>
      <c r="K90" t="s">
        <v>191</v>
      </c>
    </row>
    <row r="91" spans="1:11" ht="14.4" hidden="1" x14ac:dyDescent="0.3">
      <c r="A91">
        <v>90</v>
      </c>
      <c r="B91" t="s">
        <v>35</v>
      </c>
      <c r="C91"/>
      <c r="D91"/>
      <c r="E91">
        <v>-0.242445076138354</v>
      </c>
      <c r="F91">
        <v>-1.5608901611425401</v>
      </c>
      <c r="G91">
        <v>-1.5292323033972399</v>
      </c>
      <c r="H91">
        <v>0.16657439438517099</v>
      </c>
      <c r="I91">
        <v>0.25627271052594502</v>
      </c>
      <c r="J91">
        <v>-6.7177658789967696</v>
      </c>
      <c r="K91" t="s">
        <v>191</v>
      </c>
    </row>
    <row r="92" spans="1:11" ht="14.4" hidden="1" x14ac:dyDescent="0.3">
      <c r="A92">
        <v>91</v>
      </c>
      <c r="B92" t="s">
        <v>65</v>
      </c>
      <c r="C92"/>
      <c r="D92"/>
      <c r="E92">
        <v>0.40213428948152902</v>
      </c>
      <c r="F92">
        <v>-3.1054411836942601</v>
      </c>
      <c r="G92">
        <v>1.52223990620086</v>
      </c>
      <c r="H92">
        <v>0.16828588352454599</v>
      </c>
      <c r="I92">
        <v>0.25627271052594502</v>
      </c>
      <c r="J92">
        <v>-6.7269936944211404</v>
      </c>
      <c r="K92" t="s">
        <v>191</v>
      </c>
    </row>
    <row r="93" spans="1:11" ht="14.4" hidden="1" x14ac:dyDescent="0.3">
      <c r="A93">
        <v>92</v>
      </c>
      <c r="B93" t="s">
        <v>36</v>
      </c>
      <c r="C93"/>
      <c r="D93"/>
      <c r="E93">
        <v>0.62870050681646095</v>
      </c>
      <c r="F93">
        <v>-2.7987397042806199</v>
      </c>
      <c r="G93">
        <v>1.5168363611457001</v>
      </c>
      <c r="H93">
        <v>0.16961934797400699</v>
      </c>
      <c r="I93">
        <v>0.25627271052594502</v>
      </c>
      <c r="J93">
        <v>-6.7341092675263496</v>
      </c>
      <c r="K93" t="s">
        <v>191</v>
      </c>
    </row>
    <row r="94" spans="1:11" ht="14.4" hidden="1" x14ac:dyDescent="0.3">
      <c r="A94">
        <v>93</v>
      </c>
      <c r="B94" t="s">
        <v>120</v>
      </c>
      <c r="C94"/>
      <c r="D94"/>
      <c r="E94">
        <v>-0.32419513499384101</v>
      </c>
      <c r="F94">
        <v>-2.2881123024749099</v>
      </c>
      <c r="G94">
        <v>-1.50739219848758</v>
      </c>
      <c r="H94">
        <v>0.17197285501204701</v>
      </c>
      <c r="I94">
        <v>0.25703469727606998</v>
      </c>
      <c r="J94">
        <v>-6.7465130483626599</v>
      </c>
      <c r="K94" t="s">
        <v>191</v>
      </c>
    </row>
    <row r="95" spans="1:11" ht="14.4" hidden="1" x14ac:dyDescent="0.3">
      <c r="A95">
        <v>94</v>
      </c>
      <c r="B95" t="s">
        <v>86</v>
      </c>
      <c r="C95"/>
      <c r="D95"/>
      <c r="E95">
        <v>-0.76997316580415098</v>
      </c>
      <c r="F95">
        <v>-2.4494702104795998</v>
      </c>
      <c r="G95">
        <v>-1.4862020150028601</v>
      </c>
      <c r="H95">
        <v>0.17736080878861801</v>
      </c>
      <c r="I95">
        <v>0.26226757895338199</v>
      </c>
      <c r="J95">
        <v>-6.77419068187832</v>
      </c>
      <c r="K95" t="s">
        <v>191</v>
      </c>
    </row>
    <row r="96" spans="1:11" ht="14.4" hidden="1" x14ac:dyDescent="0.3">
      <c r="A96">
        <v>95</v>
      </c>
      <c r="B96" t="s">
        <v>75</v>
      </c>
      <c r="C96"/>
      <c r="D96"/>
      <c r="E96">
        <v>0.21010910338335201</v>
      </c>
      <c r="F96">
        <v>-3.20145377674335</v>
      </c>
      <c r="G96">
        <v>1.47518581418983</v>
      </c>
      <c r="H96">
        <v>0.180221284117043</v>
      </c>
      <c r="I96">
        <v>0.26369219465546201</v>
      </c>
      <c r="J96">
        <v>-6.7884944638282798</v>
      </c>
      <c r="K96" t="s">
        <v>191</v>
      </c>
    </row>
    <row r="97" spans="1:11" ht="14.4" hidden="1" x14ac:dyDescent="0.3">
      <c r="A97">
        <v>96</v>
      </c>
      <c r="B97" t="s">
        <v>30</v>
      </c>
      <c r="C97"/>
      <c r="D97"/>
      <c r="E97">
        <v>-0.75877043539647404</v>
      </c>
      <c r="F97">
        <v>-1.2658173955229299</v>
      </c>
      <c r="G97">
        <v>-1.4320535964093</v>
      </c>
      <c r="H97">
        <v>0.19182138210045099</v>
      </c>
      <c r="I97">
        <v>0.27774137616627698</v>
      </c>
      <c r="J97">
        <v>-6.8439222989258397</v>
      </c>
      <c r="K97" t="s">
        <v>191</v>
      </c>
    </row>
    <row r="98" spans="1:11" ht="14.4" hidden="1" x14ac:dyDescent="0.3">
      <c r="A98">
        <v>97</v>
      </c>
      <c r="B98" t="s">
        <v>53</v>
      </c>
      <c r="C98"/>
      <c r="D98"/>
      <c r="E98">
        <v>-0.336668366084452</v>
      </c>
      <c r="F98">
        <v>-2.5348325412752799</v>
      </c>
      <c r="G98">
        <v>-1.38363762130325</v>
      </c>
      <c r="H98">
        <v>0.20562576809567201</v>
      </c>
      <c r="I98">
        <v>0.29465960582781903</v>
      </c>
      <c r="J98">
        <v>-6.9050033914678703</v>
      </c>
      <c r="K98" t="s">
        <v>191</v>
      </c>
    </row>
    <row r="99" spans="1:11" ht="14.4" hidden="1" x14ac:dyDescent="0.3">
      <c r="A99">
        <v>98</v>
      </c>
      <c r="B99" t="s">
        <v>16</v>
      </c>
      <c r="C99"/>
      <c r="D99"/>
      <c r="E99">
        <v>-1.4186820734792001</v>
      </c>
      <c r="F99">
        <v>3.8927025820530101</v>
      </c>
      <c r="G99">
        <v>-1.2600892453609001</v>
      </c>
      <c r="H99">
        <v>0.244835423365246</v>
      </c>
      <c r="I99">
        <v>0.347266569875196</v>
      </c>
      <c r="J99">
        <v>-7.0549838450909803</v>
      </c>
      <c r="K99" t="s">
        <v>191</v>
      </c>
    </row>
    <row r="100" spans="1:11" ht="14.4" hidden="1" x14ac:dyDescent="0.3">
      <c r="A100">
        <v>99</v>
      </c>
      <c r="B100" t="s">
        <v>17</v>
      </c>
      <c r="C100"/>
      <c r="D100"/>
      <c r="E100">
        <v>-0.30735969815643899</v>
      </c>
      <c r="F100">
        <v>-0.19131779799114301</v>
      </c>
      <c r="G100">
        <v>-1.22440153288747</v>
      </c>
      <c r="H100">
        <v>0.25728312277971199</v>
      </c>
      <c r="I100">
        <v>0.35971618980037701</v>
      </c>
      <c r="J100">
        <v>-7.0966170963334303</v>
      </c>
      <c r="K100" t="s">
        <v>191</v>
      </c>
    </row>
    <row r="101" spans="1:11" ht="14.4" hidden="1" x14ac:dyDescent="0.3">
      <c r="A101">
        <v>100</v>
      </c>
      <c r="B101" t="s">
        <v>33</v>
      </c>
      <c r="C101"/>
      <c r="D101"/>
      <c r="E101">
        <v>-0.49814644081665299</v>
      </c>
      <c r="F101">
        <v>1.6540256299599601</v>
      </c>
      <c r="G101">
        <v>-1.22018402652401</v>
      </c>
      <c r="H101">
        <v>0.25878862575566702</v>
      </c>
      <c r="I101">
        <v>0.35971618980037701</v>
      </c>
      <c r="J101">
        <v>-7.1014844913232604</v>
      </c>
      <c r="K101" t="s">
        <v>191</v>
      </c>
    </row>
    <row r="102" spans="1:11" ht="14.4" hidden="1" x14ac:dyDescent="0.3">
      <c r="A102">
        <v>101</v>
      </c>
      <c r="B102" t="s">
        <v>34</v>
      </c>
      <c r="C102"/>
      <c r="D102"/>
      <c r="E102">
        <v>-0.27724941084828197</v>
      </c>
      <c r="F102">
        <v>-0.832394875598779</v>
      </c>
      <c r="G102">
        <v>-1.1702792909740201</v>
      </c>
      <c r="H102">
        <v>0.27716590499924099</v>
      </c>
      <c r="I102">
        <v>0.38144614648410302</v>
      </c>
      <c r="J102">
        <v>-7.1582087049103302</v>
      </c>
      <c r="K102" t="s">
        <v>191</v>
      </c>
    </row>
    <row r="103" spans="1:11" ht="14.4" hidden="1" x14ac:dyDescent="0.3">
      <c r="A103">
        <v>102</v>
      </c>
      <c r="B103" t="s">
        <v>12</v>
      </c>
      <c r="C103"/>
      <c r="D103"/>
      <c r="E103">
        <v>0.46924302826936398</v>
      </c>
      <c r="F103">
        <v>-0.22457838271331701</v>
      </c>
      <c r="G103">
        <v>1.1290536935317801</v>
      </c>
      <c r="H103">
        <v>0.29314413197857397</v>
      </c>
      <c r="I103">
        <v>0.39829460725501198</v>
      </c>
      <c r="J103">
        <v>-7.2038213679058902</v>
      </c>
      <c r="K103" t="s">
        <v>191</v>
      </c>
    </row>
    <row r="104" spans="1:11" ht="14.4" hidden="1" x14ac:dyDescent="0.3">
      <c r="A104">
        <v>103</v>
      </c>
      <c r="B104" t="s">
        <v>146</v>
      </c>
      <c r="C104"/>
      <c r="D104"/>
      <c r="E104">
        <v>0.206013626281873</v>
      </c>
      <c r="F104">
        <v>-0.44587366995775302</v>
      </c>
      <c r="G104">
        <v>1.12403540065214</v>
      </c>
      <c r="H104">
        <v>0.29513916940479301</v>
      </c>
      <c r="I104">
        <v>0.39829460725501198</v>
      </c>
      <c r="J104">
        <v>-7.2092944775990002</v>
      </c>
      <c r="K104" t="s">
        <v>191</v>
      </c>
    </row>
    <row r="105" spans="1:11" ht="14.4" hidden="1" x14ac:dyDescent="0.3">
      <c r="A105">
        <v>104</v>
      </c>
      <c r="B105" t="s">
        <v>55</v>
      </c>
      <c r="C105"/>
      <c r="D105"/>
      <c r="E105">
        <v>0.37899846000070098</v>
      </c>
      <c r="F105">
        <v>-1.82902195538612</v>
      </c>
      <c r="G105">
        <v>1.1111420207453599</v>
      </c>
      <c r="H105">
        <v>0.30031523797260001</v>
      </c>
      <c r="I105">
        <v>0.40138286613645602</v>
      </c>
      <c r="J105">
        <v>-7.2232762222523501</v>
      </c>
      <c r="K105" t="s">
        <v>191</v>
      </c>
    </row>
    <row r="106" spans="1:11" ht="14.4" hidden="1" x14ac:dyDescent="0.3">
      <c r="A106">
        <v>105</v>
      </c>
      <c r="B106" t="s">
        <v>70</v>
      </c>
      <c r="C106"/>
      <c r="D106"/>
      <c r="E106">
        <v>0.248296016233371</v>
      </c>
      <c r="F106">
        <v>-2.7644327845356198</v>
      </c>
      <c r="G106">
        <v>1.08287824668917</v>
      </c>
      <c r="H106">
        <v>0.311916666501795</v>
      </c>
      <c r="I106">
        <v>0.41291825374999502</v>
      </c>
      <c r="J106">
        <v>-7.2535165838636004</v>
      </c>
      <c r="K106" t="s">
        <v>191</v>
      </c>
    </row>
    <row r="107" spans="1:11" ht="14.4" hidden="1" x14ac:dyDescent="0.3">
      <c r="A107">
        <v>106</v>
      </c>
      <c r="B107" t="s">
        <v>69</v>
      </c>
      <c r="C107"/>
      <c r="D107"/>
      <c r="E107">
        <v>-0.51559051021759905</v>
      </c>
      <c r="F107">
        <v>-3.20724612626227</v>
      </c>
      <c r="G107">
        <v>-0.98723694664959905</v>
      </c>
      <c r="H107">
        <v>0.35381571909755799</v>
      </c>
      <c r="I107">
        <v>0.463965895797741</v>
      </c>
      <c r="J107">
        <v>-7.3515167362959799</v>
      </c>
      <c r="K107" t="s">
        <v>191</v>
      </c>
    </row>
    <row r="108" spans="1:11" ht="14.4" hidden="1" x14ac:dyDescent="0.3">
      <c r="A108">
        <v>107</v>
      </c>
      <c r="B108" t="s">
        <v>10</v>
      </c>
      <c r="C108"/>
      <c r="D108"/>
      <c r="E108">
        <v>0.85660565079626805</v>
      </c>
      <c r="F108">
        <v>-3.2575986462827702</v>
      </c>
      <c r="G108">
        <v>0.96786671266035695</v>
      </c>
      <c r="H108">
        <v>0.36280525503417799</v>
      </c>
      <c r="I108">
        <v>0.47130776121262402</v>
      </c>
      <c r="J108">
        <v>-7.3705192728254101</v>
      </c>
      <c r="K108" t="s">
        <v>191</v>
      </c>
    </row>
    <row r="109" spans="1:11" ht="14.4" hidden="1" x14ac:dyDescent="0.3">
      <c r="A109">
        <v>108</v>
      </c>
      <c r="B109" t="s">
        <v>123</v>
      </c>
      <c r="C109"/>
      <c r="D109"/>
      <c r="E109">
        <v>0.33552761790215202</v>
      </c>
      <c r="F109">
        <v>-4.11387698138034</v>
      </c>
      <c r="G109">
        <v>0.93677673508603199</v>
      </c>
      <c r="H109">
        <v>0.37759231810824101</v>
      </c>
      <c r="I109">
        <v>0.48597529830597702</v>
      </c>
      <c r="J109">
        <v>-7.4004013033155802</v>
      </c>
      <c r="K109" t="s">
        <v>191</v>
      </c>
    </row>
    <row r="110" spans="1:11" ht="14.4" hidden="1" x14ac:dyDescent="0.3">
      <c r="A110">
        <v>109</v>
      </c>
      <c r="B110" t="s">
        <v>64</v>
      </c>
      <c r="C110"/>
      <c r="D110"/>
      <c r="E110">
        <v>-0.26845011565809301</v>
      </c>
      <c r="F110">
        <v>-1.4604513122204099</v>
      </c>
      <c r="G110">
        <v>-0.82954323782147299</v>
      </c>
      <c r="H110">
        <v>0.43200029431526699</v>
      </c>
      <c r="I110">
        <v>0.55089945788827699</v>
      </c>
      <c r="J110">
        <v>-7.4974025530082802</v>
      </c>
      <c r="K110" t="s">
        <v>191</v>
      </c>
    </row>
    <row r="111" spans="1:11" ht="14.4" hidden="1" x14ac:dyDescent="0.3">
      <c r="A111">
        <v>110</v>
      </c>
      <c r="B111" t="s">
        <v>85</v>
      </c>
      <c r="C111"/>
      <c r="D111"/>
      <c r="E111">
        <v>-6.7378485875699196E-2</v>
      </c>
      <c r="F111">
        <v>-2.0633107295890398</v>
      </c>
      <c r="G111">
        <v>-0.78412378731034804</v>
      </c>
      <c r="H111">
        <v>0.45663440835387598</v>
      </c>
      <c r="I111">
        <v>0.57608389635523305</v>
      </c>
      <c r="J111">
        <v>-7.5355325942255904</v>
      </c>
      <c r="K111" t="s">
        <v>191</v>
      </c>
    </row>
    <row r="112" spans="1:11" ht="14.4" hidden="1" x14ac:dyDescent="0.3">
      <c r="A112">
        <v>111</v>
      </c>
      <c r="B112" t="s">
        <v>22</v>
      </c>
      <c r="C112"/>
      <c r="D112"/>
      <c r="E112">
        <v>0.27991084481316503</v>
      </c>
      <c r="F112">
        <v>-0.40583330587335498</v>
      </c>
      <c r="G112">
        <v>0.76813703747366102</v>
      </c>
      <c r="H112">
        <v>0.46552830091804698</v>
      </c>
      <c r="I112">
        <v>0.57608389635523305</v>
      </c>
      <c r="J112">
        <v>-7.5485199198191104</v>
      </c>
      <c r="K112" t="s">
        <v>191</v>
      </c>
    </row>
    <row r="113" spans="1:11" ht="14.4" hidden="1" x14ac:dyDescent="0.3">
      <c r="A113">
        <v>112</v>
      </c>
      <c r="B113" t="s">
        <v>14</v>
      </c>
      <c r="C113"/>
      <c r="D113"/>
      <c r="E113">
        <v>-0.54080147533807199</v>
      </c>
      <c r="F113">
        <v>-0.59381821177706495</v>
      </c>
      <c r="G113">
        <v>-0.76246643228447997</v>
      </c>
      <c r="H113">
        <v>0.468710780576158</v>
      </c>
      <c r="I113">
        <v>0.57608389635523305</v>
      </c>
      <c r="J113">
        <v>-7.5530716137147502</v>
      </c>
      <c r="K113" t="s">
        <v>191</v>
      </c>
    </row>
    <row r="114" spans="1:11" ht="14.4" hidden="1" x14ac:dyDescent="0.3">
      <c r="A114">
        <v>113</v>
      </c>
      <c r="B114" t="s">
        <v>154</v>
      </c>
      <c r="C114"/>
      <c r="D114"/>
      <c r="E114">
        <v>0.22915769684274201</v>
      </c>
      <c r="F114">
        <v>-1.5932347228619499</v>
      </c>
      <c r="G114">
        <v>0.75454541255682295</v>
      </c>
      <c r="H114">
        <v>0.473180505580031</v>
      </c>
      <c r="I114">
        <v>0.57608389635523305</v>
      </c>
      <c r="J114">
        <v>-7.5593811816629302</v>
      </c>
      <c r="K114" t="s">
        <v>191</v>
      </c>
    </row>
    <row r="115" spans="1:11" ht="14.4" hidden="1" x14ac:dyDescent="0.3">
      <c r="A115">
        <v>114</v>
      </c>
      <c r="B115" t="s">
        <v>78</v>
      </c>
      <c r="C115"/>
      <c r="D115"/>
      <c r="E115">
        <v>0.190227842262466</v>
      </c>
      <c r="F115">
        <v>0.43150261232352199</v>
      </c>
      <c r="G115">
        <v>0.75357599047923796</v>
      </c>
      <c r="H115">
        <v>0.47372947631463502</v>
      </c>
      <c r="I115">
        <v>0.57608389635523305</v>
      </c>
      <c r="J115">
        <v>-7.5601494913762801</v>
      </c>
      <c r="K115" t="s">
        <v>191</v>
      </c>
    </row>
    <row r="116" spans="1:11" ht="14.4" hidden="1" x14ac:dyDescent="0.3">
      <c r="A116">
        <v>115</v>
      </c>
      <c r="B116" t="s">
        <v>13</v>
      </c>
      <c r="C116"/>
      <c r="D116"/>
      <c r="E116">
        <v>-0.24306343879932099</v>
      </c>
      <c r="F116">
        <v>-0.12785600456129401</v>
      </c>
      <c r="G116">
        <v>-0.74849061286766305</v>
      </c>
      <c r="H116">
        <v>0.476616173243538</v>
      </c>
      <c r="I116">
        <v>0.57608389635523305</v>
      </c>
      <c r="J116">
        <v>-7.5641659304612601</v>
      </c>
      <c r="K116" t="s">
        <v>191</v>
      </c>
    </row>
    <row r="117" spans="1:11" ht="14.4" hidden="1" x14ac:dyDescent="0.3">
      <c r="A117">
        <v>116</v>
      </c>
      <c r="B117" t="s">
        <v>11</v>
      </c>
      <c r="C117"/>
      <c r="D117"/>
      <c r="E117">
        <v>-0.28400263667693398</v>
      </c>
      <c r="F117">
        <v>2.1138921496723602</v>
      </c>
      <c r="G117">
        <v>-0.73570334157772299</v>
      </c>
      <c r="H117">
        <v>0.48392603682575203</v>
      </c>
      <c r="I117">
        <v>0.57987688895499601</v>
      </c>
      <c r="J117">
        <v>-7.5741614418078296</v>
      </c>
      <c r="K117" t="s">
        <v>191</v>
      </c>
    </row>
    <row r="118" spans="1:11" ht="14.4" hidden="1" x14ac:dyDescent="0.3">
      <c r="A118">
        <v>117</v>
      </c>
      <c r="B118" t="s">
        <v>68</v>
      </c>
      <c r="C118"/>
      <c r="D118"/>
      <c r="E118">
        <v>0.10186942392767601</v>
      </c>
      <c r="F118">
        <v>-4.23943966972256</v>
      </c>
      <c r="G118">
        <v>0.71900954996942601</v>
      </c>
      <c r="H118">
        <v>0.49357885714802702</v>
      </c>
      <c r="I118">
        <v>0.58638855678269897</v>
      </c>
      <c r="J118">
        <v>-7.5869853778346998</v>
      </c>
      <c r="K118" t="s">
        <v>191</v>
      </c>
    </row>
    <row r="119" spans="1:11" ht="14.4" hidden="1" x14ac:dyDescent="0.3">
      <c r="A119">
        <v>118</v>
      </c>
      <c r="B119" t="s">
        <v>59</v>
      </c>
      <c r="C119"/>
      <c r="D119"/>
      <c r="E119">
        <v>0.19218521415122899</v>
      </c>
      <c r="F119">
        <v>-2.6112403061852998</v>
      </c>
      <c r="G119">
        <v>0.71096345771154301</v>
      </c>
      <c r="H119">
        <v>0.498275505430261</v>
      </c>
      <c r="I119">
        <v>0.58695165470174804</v>
      </c>
      <c r="J119">
        <v>-7.5930745375855002</v>
      </c>
      <c r="K119" t="s">
        <v>191</v>
      </c>
    </row>
    <row r="120" spans="1:11" ht="14.4" hidden="1" x14ac:dyDescent="0.3">
      <c r="A120">
        <v>119</v>
      </c>
      <c r="B120" t="s">
        <v>23</v>
      </c>
      <c r="C120"/>
      <c r="D120"/>
      <c r="E120">
        <v>0.195780416980431</v>
      </c>
      <c r="F120">
        <v>-0.244860286002621</v>
      </c>
      <c r="G120">
        <v>0.66778307724482699</v>
      </c>
      <c r="H120">
        <v>0.52396614124026897</v>
      </c>
      <c r="I120">
        <v>0.612027677583171</v>
      </c>
      <c r="J120">
        <v>-7.6247206609162701</v>
      </c>
      <c r="K120" t="s">
        <v>191</v>
      </c>
    </row>
    <row r="121" spans="1:11" ht="14.4" hidden="1" x14ac:dyDescent="0.3">
      <c r="A121">
        <v>120</v>
      </c>
      <c r="B121" t="s">
        <v>19</v>
      </c>
      <c r="C121"/>
      <c r="D121"/>
      <c r="E121">
        <v>0.31344640706580501</v>
      </c>
      <c r="F121">
        <v>-2.9158753274046298</v>
      </c>
      <c r="G121">
        <v>0.66020953955120598</v>
      </c>
      <c r="H121">
        <v>0.52855556446918195</v>
      </c>
      <c r="I121">
        <v>0.612243528843469</v>
      </c>
      <c r="J121">
        <v>-7.6300899239711804</v>
      </c>
      <c r="K121" t="s">
        <v>191</v>
      </c>
    </row>
    <row r="122" spans="1:11" ht="14.4" hidden="1" x14ac:dyDescent="0.3">
      <c r="A122">
        <v>121</v>
      </c>
      <c r="B122" t="s">
        <v>18</v>
      </c>
      <c r="C122"/>
      <c r="D122"/>
      <c r="E122">
        <v>-0.27391122189509998</v>
      </c>
      <c r="F122">
        <v>-0.92321181661470997</v>
      </c>
      <c r="G122">
        <v>-0.59210226282314504</v>
      </c>
      <c r="H122">
        <v>0.57091794683266694</v>
      </c>
      <c r="I122">
        <v>0.65584788933670002</v>
      </c>
      <c r="J122">
        <v>-7.6758945088817097</v>
      </c>
      <c r="K122" t="s">
        <v>191</v>
      </c>
    </row>
    <row r="123" spans="1:11" ht="14.4" hidden="1" x14ac:dyDescent="0.3">
      <c r="A123">
        <v>122</v>
      </c>
      <c r="B123" t="s">
        <v>76</v>
      </c>
      <c r="C123"/>
      <c r="D123"/>
      <c r="E123">
        <v>-0.235178002245094</v>
      </c>
      <c r="F123">
        <v>1.2388807198582099</v>
      </c>
      <c r="G123">
        <v>-0.54613907057886601</v>
      </c>
      <c r="H123">
        <v>0.60058068295356903</v>
      </c>
      <c r="I123">
        <v>0.684268155168411</v>
      </c>
      <c r="J123">
        <v>-7.7042341060928496</v>
      </c>
      <c r="K123" t="s">
        <v>191</v>
      </c>
    </row>
    <row r="124" spans="1:11" ht="14.4" hidden="1" x14ac:dyDescent="0.3">
      <c r="A124">
        <v>123</v>
      </c>
      <c r="B124" t="s">
        <v>15</v>
      </c>
      <c r="C124"/>
      <c r="D124"/>
      <c r="E124">
        <v>-0.21176547113386601</v>
      </c>
      <c r="F124">
        <v>0.373148000240689</v>
      </c>
      <c r="G124">
        <v>-0.52982349991877598</v>
      </c>
      <c r="H124">
        <v>0.61130980283923297</v>
      </c>
      <c r="I124">
        <v>0.69082977719230299</v>
      </c>
      <c r="J124">
        <v>-7.7137854182731003</v>
      </c>
      <c r="K124" t="s">
        <v>191</v>
      </c>
    </row>
    <row r="125" spans="1:11" ht="14.4" hidden="1" x14ac:dyDescent="0.3">
      <c r="A125">
        <v>124</v>
      </c>
      <c r="B125" t="s">
        <v>81</v>
      </c>
      <c r="C125"/>
      <c r="D125"/>
      <c r="E125">
        <v>8.5069455011662201E-2</v>
      </c>
      <c r="F125">
        <v>-2.3239636307272198</v>
      </c>
      <c r="G125">
        <v>0.50082111058864398</v>
      </c>
      <c r="H125">
        <v>0.63063147099441497</v>
      </c>
      <c r="I125">
        <v>0.70691753603406204</v>
      </c>
      <c r="J125">
        <v>-7.73009761442641</v>
      </c>
      <c r="K125" t="s">
        <v>191</v>
      </c>
    </row>
    <row r="126" spans="1:11" ht="14.4" hidden="1" x14ac:dyDescent="0.3">
      <c r="A126">
        <v>125</v>
      </c>
      <c r="B126" t="s">
        <v>107</v>
      </c>
      <c r="C126"/>
      <c r="D126"/>
      <c r="E126">
        <v>-0.12491877273678501</v>
      </c>
      <c r="F126">
        <v>-1.9597247736903201</v>
      </c>
      <c r="G126">
        <v>-0.45152577634872598</v>
      </c>
      <c r="H126">
        <v>0.66417663993818299</v>
      </c>
      <c r="I126">
        <v>0.73856442361125996</v>
      </c>
      <c r="J126">
        <v>-7.7558427076826897</v>
      </c>
      <c r="K126" t="s">
        <v>191</v>
      </c>
    </row>
    <row r="127" spans="1:11" ht="14.4" hidden="1" x14ac:dyDescent="0.3">
      <c r="A127">
        <v>126</v>
      </c>
      <c r="B127" t="s">
        <v>121</v>
      </c>
      <c r="C127"/>
      <c r="D127"/>
      <c r="E127">
        <v>0.117281503348663</v>
      </c>
      <c r="F127">
        <v>-1.2814447560370901</v>
      </c>
      <c r="G127">
        <v>0.41402455460579002</v>
      </c>
      <c r="H127">
        <v>0.69025710100315396</v>
      </c>
      <c r="I127">
        <v>0.76147410348760602</v>
      </c>
      <c r="J127">
        <v>-7.7737337413259198</v>
      </c>
      <c r="K127" t="s">
        <v>191</v>
      </c>
    </row>
    <row r="128" spans="1:11" ht="14.4" hidden="1" x14ac:dyDescent="0.3">
      <c r="A128">
        <v>127</v>
      </c>
      <c r="B128" t="s">
        <v>31</v>
      </c>
      <c r="C128"/>
      <c r="D128"/>
      <c r="E128">
        <v>-6.7378485875698904E-2</v>
      </c>
      <c r="F128">
        <v>-1.28059572910479</v>
      </c>
      <c r="G128">
        <v>-0.40035037028946402</v>
      </c>
      <c r="H128">
        <v>0.69988095574873499</v>
      </c>
      <c r="I128">
        <v>0.76601143975649</v>
      </c>
      <c r="J128">
        <v>-7.7798888856294699</v>
      </c>
      <c r="K128" t="s">
        <v>191</v>
      </c>
    </row>
    <row r="129" spans="1:11" ht="14.4" hidden="1" x14ac:dyDescent="0.3">
      <c r="A129">
        <v>128</v>
      </c>
      <c r="B129" t="s">
        <v>50</v>
      </c>
      <c r="C129"/>
      <c r="D129"/>
      <c r="E129">
        <v>0.181857538696474</v>
      </c>
      <c r="F129">
        <v>-1.7459267189318799</v>
      </c>
      <c r="G129">
        <v>0.39126223195425902</v>
      </c>
      <c r="H129">
        <v>0.70630964546360198</v>
      </c>
      <c r="I129">
        <v>0.76700813062063</v>
      </c>
      <c r="J129">
        <v>-7.7838700673216197</v>
      </c>
      <c r="K129" t="s">
        <v>191</v>
      </c>
    </row>
    <row r="130" spans="1:11" ht="14.4" hidden="1" x14ac:dyDescent="0.3">
      <c r="A130">
        <v>129</v>
      </c>
      <c r="B130" t="s">
        <v>60</v>
      </c>
      <c r="C130"/>
      <c r="D130"/>
      <c r="E130">
        <v>-0.13575941395930299</v>
      </c>
      <c r="F130">
        <v>-1.3844582571049699</v>
      </c>
      <c r="G130">
        <v>-0.29448831221546901</v>
      </c>
      <c r="H130">
        <v>0.77624279544657904</v>
      </c>
      <c r="I130">
        <v>0.83641665555871703</v>
      </c>
      <c r="J130">
        <v>-7.8207688596688199</v>
      </c>
      <c r="K130" t="s">
        <v>191</v>
      </c>
    </row>
    <row r="131" spans="1:11" ht="14.4" hidden="1" x14ac:dyDescent="0.3">
      <c r="A131">
        <v>130</v>
      </c>
      <c r="B131" t="s">
        <v>128</v>
      </c>
      <c r="C131"/>
      <c r="D131"/>
      <c r="E131">
        <v>-0.117669173396698</v>
      </c>
      <c r="F131">
        <v>1.04876717629912</v>
      </c>
      <c r="G131">
        <v>-0.26898448207066</v>
      </c>
      <c r="H131">
        <v>0.79507656331126897</v>
      </c>
      <c r="I131">
        <v>0.84378525836572105</v>
      </c>
      <c r="J131">
        <v>-7.8288010957630396</v>
      </c>
      <c r="K131" t="s">
        <v>191</v>
      </c>
    </row>
    <row r="132" spans="1:11" ht="14.4" hidden="1" x14ac:dyDescent="0.3">
      <c r="A132">
        <v>131</v>
      </c>
      <c r="B132" t="s">
        <v>73</v>
      </c>
      <c r="C132"/>
      <c r="D132"/>
      <c r="E132">
        <v>-0.109755137460243</v>
      </c>
      <c r="F132">
        <v>0.52949915607040199</v>
      </c>
      <c r="G132">
        <v>-0.26878821721178198</v>
      </c>
      <c r="H132">
        <v>0.79522207802812495</v>
      </c>
      <c r="I132">
        <v>0.84378525836572105</v>
      </c>
      <c r="J132">
        <v>-7.8288601441584902</v>
      </c>
      <c r="K132" t="s">
        <v>191</v>
      </c>
    </row>
    <row r="133" spans="1:11" ht="14.4" hidden="1" x14ac:dyDescent="0.3">
      <c r="A133">
        <v>132</v>
      </c>
      <c r="B133" t="s">
        <v>45</v>
      </c>
      <c r="C133"/>
      <c r="D133"/>
      <c r="E133">
        <v>-6.4165712867470401E-2</v>
      </c>
      <c r="F133">
        <v>4.28651910636179E-2</v>
      </c>
      <c r="G133">
        <v>-0.24610629805904999</v>
      </c>
      <c r="H133">
        <v>0.81209538631741995</v>
      </c>
      <c r="I133">
        <v>0.85516105074334403</v>
      </c>
      <c r="J133">
        <v>-7.83539894388562</v>
      </c>
      <c r="K133" t="s">
        <v>191</v>
      </c>
    </row>
    <row r="134" spans="1:11" ht="14.4" hidden="1" x14ac:dyDescent="0.3">
      <c r="A134">
        <v>133</v>
      </c>
      <c r="B134" t="s">
        <v>9</v>
      </c>
      <c r="C134"/>
      <c r="D134"/>
      <c r="E134">
        <v>-0.106910180346141</v>
      </c>
      <c r="F134">
        <v>3.4222222468476802</v>
      </c>
      <c r="G134">
        <v>-0.223811798763316</v>
      </c>
      <c r="H134">
        <v>0.82878386496362999</v>
      </c>
      <c r="I134">
        <v>0.86617261075146301</v>
      </c>
      <c r="J134">
        <v>-7.8412731172907097</v>
      </c>
      <c r="K134" t="s">
        <v>191</v>
      </c>
    </row>
    <row r="135" spans="1:11" ht="14.4" hidden="1" x14ac:dyDescent="0.3">
      <c r="A135">
        <v>134</v>
      </c>
      <c r="B135" t="s">
        <v>58</v>
      </c>
      <c r="C135"/>
      <c r="D135"/>
      <c r="E135">
        <v>7.7325940101085303E-2</v>
      </c>
      <c r="F135">
        <v>-1.8138550272095599</v>
      </c>
      <c r="G135">
        <v>0.15357434908631701</v>
      </c>
      <c r="H135">
        <v>0.88193193926250302</v>
      </c>
      <c r="I135">
        <v>0.90816907604939701</v>
      </c>
      <c r="J135">
        <v>-7.8561712014922396</v>
      </c>
      <c r="K135" t="s">
        <v>191</v>
      </c>
    </row>
    <row r="136" spans="1:11" ht="14.4" hidden="1" x14ac:dyDescent="0.3">
      <c r="A136">
        <v>135</v>
      </c>
      <c r="B136" t="s">
        <v>105</v>
      </c>
      <c r="C136"/>
      <c r="D136"/>
      <c r="E136">
        <v>0.15020430499579501</v>
      </c>
      <c r="F136">
        <v>1.2498805655302001</v>
      </c>
      <c r="G136">
        <v>0.15343947560573001</v>
      </c>
      <c r="H136">
        <v>0.88203471414869505</v>
      </c>
      <c r="I136">
        <v>0.90816907604939701</v>
      </c>
      <c r="J136">
        <v>-7.8561945153430699</v>
      </c>
      <c r="K136" t="s">
        <v>191</v>
      </c>
    </row>
    <row r="137" spans="1:11" ht="14.4" hidden="1" x14ac:dyDescent="0.3">
      <c r="A137">
        <v>136</v>
      </c>
      <c r="B137" t="s">
        <v>43</v>
      </c>
      <c r="C137"/>
      <c r="D137"/>
      <c r="E137">
        <v>2.8764034375164799E-2</v>
      </c>
      <c r="F137">
        <v>-1.70098088813546</v>
      </c>
      <c r="G137">
        <v>8.3482893200324204E-2</v>
      </c>
      <c r="H137">
        <v>0.93561763738130999</v>
      </c>
      <c r="I137">
        <v>0.95480826632788096</v>
      </c>
      <c r="J137">
        <v>-7.8655364547261897</v>
      </c>
      <c r="K137" t="s">
        <v>191</v>
      </c>
    </row>
    <row r="138" spans="1:11" ht="14.4" hidden="1" x14ac:dyDescent="0.3">
      <c r="A138">
        <v>137</v>
      </c>
      <c r="B138" t="s">
        <v>98</v>
      </c>
      <c r="C138"/>
      <c r="D138"/>
      <c r="E138">
        <v>-3.9195747372243503E-2</v>
      </c>
      <c r="F138">
        <v>-0.95566749994939504</v>
      </c>
      <c r="G138">
        <v>-7.6396641359443407E-2</v>
      </c>
      <c r="H138">
        <v>0.94107001789150901</v>
      </c>
      <c r="I138">
        <v>0.95480826632788096</v>
      </c>
      <c r="J138">
        <v>-7.8661757713668896</v>
      </c>
      <c r="K138" t="s">
        <v>191</v>
      </c>
    </row>
    <row r="139" spans="1:11" ht="14.4" hidden="1" x14ac:dyDescent="0.3">
      <c r="A139">
        <v>138</v>
      </c>
      <c r="B139" t="s">
        <v>28</v>
      </c>
      <c r="C139"/>
      <c r="D139"/>
      <c r="E139">
        <v>-2.3882819957632799E-2</v>
      </c>
      <c r="F139">
        <v>-2.21814365890737</v>
      </c>
      <c r="G139">
        <v>-6.4324385105859902E-2</v>
      </c>
      <c r="H139">
        <v>0.95036630355537</v>
      </c>
      <c r="I139">
        <v>0.95725301589997402</v>
      </c>
      <c r="J139">
        <v>-7.8671345860991</v>
      </c>
      <c r="K139" t="s">
        <v>191</v>
      </c>
    </row>
    <row r="140" spans="1:11" ht="14.4" hidden="1" x14ac:dyDescent="0.3">
      <c r="A140">
        <v>139</v>
      </c>
      <c r="B140" t="s">
        <v>46</v>
      </c>
      <c r="C140"/>
      <c r="D140"/>
      <c r="E140">
        <v>1.51375916158113E-2</v>
      </c>
      <c r="F140">
        <v>-2.1302873866834502</v>
      </c>
      <c r="G140">
        <v>3.7535667696995602E-2</v>
      </c>
      <c r="H140">
        <v>0.97102200082715495</v>
      </c>
      <c r="I140">
        <v>0.97102200082715495</v>
      </c>
      <c r="J140">
        <v>-7.8686751130336603</v>
      </c>
      <c r="K140" t="s">
        <v>191</v>
      </c>
    </row>
  </sheetData>
  <autoFilter ref="A1:K140" xr:uid="{B329DB74-E043-4F01-AF10-B67A3097AEEA}">
    <filterColumn colId="10">
      <filters>
        <filter val="Down en Hembra"/>
        <filter val="Up en Hembra"/>
      </filters>
    </filterColumn>
    <sortState xmlns:xlrd2="http://schemas.microsoft.com/office/spreadsheetml/2017/richdata2" ref="A2:K58">
      <sortCondition ref="K1:K14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0E47-1958-43FF-AEC8-9F259C3E8A30}">
  <sheetPr filterMode="1">
    <tabColor rgb="FFFF0000"/>
  </sheetPr>
  <dimension ref="A1:K142"/>
  <sheetViews>
    <sheetView workbookViewId="0">
      <selection activeCell="C1" sqref="C1:C1048576"/>
    </sheetView>
  </sheetViews>
  <sheetFormatPr baseColWidth="10" defaultColWidth="11.44140625" defaultRowHeight="15" customHeight="1" x14ac:dyDescent="0.3"/>
  <cols>
    <col min="3" max="3" width="11.44140625" style="30"/>
    <col min="11" max="11" width="17.5546875" customWidth="1"/>
  </cols>
  <sheetData>
    <row r="1" spans="1:11" ht="14.4" x14ac:dyDescent="0.3">
      <c r="B1" s="3" t="s">
        <v>0</v>
      </c>
      <c r="C1" s="26" t="s">
        <v>181</v>
      </c>
      <c r="D1" s="3" t="s">
        <v>182</v>
      </c>
      <c r="E1" s="3" t="s">
        <v>183</v>
      </c>
      <c r="F1" s="3" t="s">
        <v>184</v>
      </c>
      <c r="G1" s="3" t="s">
        <v>185</v>
      </c>
      <c r="H1" s="3" t="s">
        <v>186</v>
      </c>
      <c r="I1" s="3" t="s">
        <v>187</v>
      </c>
      <c r="J1" s="3" t="s">
        <v>188</v>
      </c>
      <c r="K1" s="3" t="s">
        <v>189</v>
      </c>
    </row>
    <row r="2" spans="1:11" ht="14.4" x14ac:dyDescent="0.3">
      <c r="A2">
        <v>5</v>
      </c>
      <c r="B2" t="s">
        <v>26</v>
      </c>
      <c r="C2" s="28" t="str">
        <f>VLOOKUP(B2,'Uniprot-API'!$A$1:$D$165,2,)</f>
        <v>C3</v>
      </c>
      <c r="D2" s="1" t="e">
        <f>VLOOKUP(B2,'BiomaRt Ensembl'!$A$1:$F$327,2,)</f>
        <v>#N/A</v>
      </c>
      <c r="E2">
        <v>-1.48539518213802</v>
      </c>
      <c r="F2">
        <v>-2.37681493863633</v>
      </c>
      <c r="G2">
        <v>-14.445805815195101</v>
      </c>
      <c r="H2" s="4">
        <v>5.0169029119631697E-7</v>
      </c>
      <c r="I2" s="4">
        <v>1.4049087176695599E-5</v>
      </c>
      <c r="J2">
        <v>7.02587571030337</v>
      </c>
      <c r="K2" t="s">
        <v>195</v>
      </c>
    </row>
    <row r="3" spans="1:11" ht="14.4" x14ac:dyDescent="0.3">
      <c r="A3">
        <v>6</v>
      </c>
      <c r="B3" t="s">
        <v>109</v>
      </c>
      <c r="C3" s="28" t="str">
        <f>VLOOKUP(B3,'Uniprot-API'!$A$1:$D$165,2,)</f>
        <v>MPO</v>
      </c>
      <c r="D3" s="1" t="e">
        <f>VLOOKUP(B3,'BiomaRt Ensembl'!$A$1:$F$327,2,)</f>
        <v>#N/A</v>
      </c>
      <c r="E3">
        <v>-1.3409413335165601</v>
      </c>
      <c r="F3">
        <v>-0.944985536627311</v>
      </c>
      <c r="G3">
        <v>-14.122630368712599</v>
      </c>
      <c r="H3" s="4">
        <v>5.9783349688066405E-7</v>
      </c>
      <c r="I3" s="4">
        <v>1.4049087176695599E-5</v>
      </c>
      <c r="J3">
        <v>6.8434893026766197</v>
      </c>
      <c r="K3" t="s">
        <v>195</v>
      </c>
    </row>
    <row r="4" spans="1:11" ht="14.4" x14ac:dyDescent="0.3">
      <c r="A4">
        <v>7</v>
      </c>
      <c r="B4" t="s">
        <v>104</v>
      </c>
      <c r="C4" s="28" t="str">
        <f>VLOOKUP(B4,'Uniprot-API'!$A$1:$D$165,2,)</f>
        <v>GALK1</v>
      </c>
      <c r="D4" s="1" t="str">
        <f>VLOOKUP(B4,'BiomaRt Ensembl'!$A$1:$F$327,2,)</f>
        <v>H3-3A</v>
      </c>
      <c r="E4">
        <v>-1.72423091254496</v>
      </c>
      <c r="F4">
        <v>0.21117923146402101</v>
      </c>
      <c r="G4">
        <v>-13.569641828074101</v>
      </c>
      <c r="H4" s="4">
        <v>8.1416302906114096E-7</v>
      </c>
      <c r="I4" s="4">
        <v>1.63995695853744E-5</v>
      </c>
      <c r="J4">
        <v>6.5209489549242603</v>
      </c>
      <c r="K4" t="s">
        <v>195</v>
      </c>
    </row>
    <row r="5" spans="1:11" ht="14.4" x14ac:dyDescent="0.3">
      <c r="A5">
        <v>8</v>
      </c>
      <c r="B5" t="s">
        <v>100</v>
      </c>
      <c r="C5" s="28" t="str">
        <f>VLOOKUP(B5,'Uniprot-API'!$A$1:$D$165,2,)</f>
        <v>FN1</v>
      </c>
      <c r="D5" s="1" t="str">
        <f>VLOOKUP(B5,'BiomaRt Ensembl'!$A$1:$F$327,2,)</f>
        <v>FN1</v>
      </c>
      <c r="E5">
        <v>-1.27837208025198</v>
      </c>
      <c r="F5">
        <v>-3.59451055558596</v>
      </c>
      <c r="G5">
        <v>-11.208201304215899</v>
      </c>
      <c r="H5" s="4">
        <v>3.5206112996360398E-6</v>
      </c>
      <c r="I5" s="4">
        <v>6.2050774156085202E-5</v>
      </c>
      <c r="J5">
        <v>4.9732296464060299</v>
      </c>
      <c r="K5" t="s">
        <v>195</v>
      </c>
    </row>
    <row r="6" spans="1:11" ht="14.4" x14ac:dyDescent="0.3">
      <c r="A6">
        <v>9</v>
      </c>
      <c r="B6" t="s">
        <v>42</v>
      </c>
      <c r="C6" s="28" t="str">
        <f>VLOOKUP(B6,'Uniprot-API'!$A$1:$D$165,2,)</f>
        <v>CANT1</v>
      </c>
      <c r="D6" s="1" t="e">
        <f>VLOOKUP(B6,'BiomaRt Ensembl'!$A$1:$F$327,2,)</f>
        <v>#N/A</v>
      </c>
      <c r="E6">
        <v>-1.02087344877888</v>
      </c>
      <c r="F6">
        <v>-2.8032388589064898</v>
      </c>
      <c r="G6">
        <v>-9.9495931890292706</v>
      </c>
      <c r="H6" s="4">
        <v>8.6393531507345905E-6</v>
      </c>
      <c r="I6">
        <v>1.35349866028175E-4</v>
      </c>
      <c r="J6">
        <v>4.0125354126347501</v>
      </c>
      <c r="K6" t="s">
        <v>195</v>
      </c>
    </row>
    <row r="7" spans="1:11" ht="14.4" x14ac:dyDescent="0.3">
      <c r="A7">
        <v>21</v>
      </c>
      <c r="B7" t="s">
        <v>40</v>
      </c>
      <c r="C7" s="28" t="str">
        <f>VLOOKUP(B7,'Uniprot-API'!$A$1:$D$165,2,)</f>
        <v>SERPINA5</v>
      </c>
      <c r="D7" s="1" t="str">
        <f>VLOOKUP(B7,'BiomaRt Ensembl'!$A$1:$F$327,2,)</f>
        <v>SERPINA5</v>
      </c>
      <c r="E7">
        <v>-1.39582532607281</v>
      </c>
      <c r="F7">
        <v>-2.1222475208704701</v>
      </c>
      <c r="G7">
        <v>-7.7834628618893698</v>
      </c>
      <c r="H7" s="4">
        <v>5.2360234528338E-5</v>
      </c>
      <c r="I7">
        <v>3.5156157469027E-4</v>
      </c>
      <c r="J7">
        <v>2.0676301356787898</v>
      </c>
      <c r="K7" t="s">
        <v>195</v>
      </c>
    </row>
    <row r="8" spans="1:11" ht="14.4" x14ac:dyDescent="0.3">
      <c r="A8">
        <v>27</v>
      </c>
      <c r="B8" t="s">
        <v>154</v>
      </c>
      <c r="C8" s="28" t="str">
        <f>VLOOKUP(B8,'Uniprot-API'!$A$1:$D$165,2,)</f>
        <v>SERPINB1</v>
      </c>
      <c r="D8" s="1" t="str">
        <f>VLOOKUP(B8,'BiomaRt Ensembl'!$A$1:$F$327,2,)</f>
        <v>SERPINB1</v>
      </c>
      <c r="E8">
        <v>-1.19717223931995</v>
      </c>
      <c r="F8">
        <v>-1.35845288318025</v>
      </c>
      <c r="G8">
        <v>-6.1487038448979803</v>
      </c>
      <c r="H8">
        <v>2.7125596830489197E-4</v>
      </c>
      <c r="I8">
        <v>1.4165589455922101E-3</v>
      </c>
      <c r="J8">
        <v>0.28409354905540901</v>
      </c>
      <c r="K8" t="s">
        <v>195</v>
      </c>
    </row>
    <row r="9" spans="1:11" ht="14.4" x14ac:dyDescent="0.3">
      <c r="A9">
        <v>28</v>
      </c>
      <c r="B9" t="s">
        <v>103</v>
      </c>
      <c r="C9" s="28" t="str">
        <f>VLOOKUP(B9,'Uniprot-API'!$A$1:$D$165,2,)</f>
        <v>H2BC26</v>
      </c>
      <c r="D9" s="1" t="e">
        <f>VLOOKUP(B9,'BiomaRt Ensembl'!$A$1:$F$327,2,)</f>
        <v>#N/A</v>
      </c>
      <c r="E9">
        <v>-1.3403997807857899</v>
      </c>
      <c r="F9">
        <v>0.65255940978392102</v>
      </c>
      <c r="G9">
        <v>-6.0501070745433196</v>
      </c>
      <c r="H9">
        <v>3.0246629086706501E-4</v>
      </c>
      <c r="I9">
        <v>1.52313382186629E-3</v>
      </c>
      <c r="J9">
        <v>0.16605204779633001</v>
      </c>
      <c r="K9" t="s">
        <v>195</v>
      </c>
    </row>
    <row r="10" spans="1:11" ht="14.4" x14ac:dyDescent="0.3">
      <c r="A10">
        <v>30</v>
      </c>
      <c r="B10" t="s">
        <v>12</v>
      </c>
      <c r="C10" s="28" t="str">
        <f>VLOOKUP(B10,'Uniprot-API'!$A$1:$D$165,2,)</f>
        <v>DHODH</v>
      </c>
      <c r="D10" s="1" t="str">
        <f>VLOOKUP(B10,'BiomaRt Ensembl'!$A$1:$F$327,2,)</f>
        <v>DHODH</v>
      </c>
      <c r="E10">
        <v>-1.5375754002861299</v>
      </c>
      <c r="F10">
        <v>-0.56252417708913904</v>
      </c>
      <c r="G10">
        <v>-5.6340009591112601</v>
      </c>
      <c r="H10">
        <v>4.85502779377247E-4</v>
      </c>
      <c r="I10">
        <v>2.2818630630730601E-3</v>
      </c>
      <c r="J10">
        <v>-0.34648623490756802</v>
      </c>
      <c r="K10" t="s">
        <v>195</v>
      </c>
    </row>
    <row r="11" spans="1:11" ht="14.4" x14ac:dyDescent="0.3">
      <c r="A11">
        <v>32</v>
      </c>
      <c r="B11" t="s">
        <v>110</v>
      </c>
      <c r="C11" s="28" t="str">
        <f>VLOOKUP(B11,'Uniprot-API'!$A$1:$D$165,2,)</f>
        <v>NPM1</v>
      </c>
      <c r="D11" s="1" t="str">
        <f>VLOOKUP(B11,'BiomaRt Ensembl'!$A$1:$F$327,2,)</f>
        <v>NPM1</v>
      </c>
      <c r="E11">
        <v>-1.2856068771467399</v>
      </c>
      <c r="F11">
        <v>-1.1014138299864</v>
      </c>
      <c r="G11">
        <v>-5.5108399888099999</v>
      </c>
      <c r="H11">
        <v>5.6093111674417398E-4</v>
      </c>
      <c r="I11">
        <v>2.47160273315402E-3</v>
      </c>
      <c r="J11">
        <v>-0.50274525327601505</v>
      </c>
      <c r="K11" t="s">
        <v>195</v>
      </c>
    </row>
    <row r="12" spans="1:11" ht="14.4" hidden="1" x14ac:dyDescent="0.3">
      <c r="A12">
        <v>11</v>
      </c>
      <c r="B12" t="s">
        <v>142</v>
      </c>
      <c r="C12"/>
      <c r="E12">
        <v>-0.95737433489736901</v>
      </c>
      <c r="F12">
        <v>-2.0197251570687098</v>
      </c>
      <c r="G12">
        <v>-9.2922856477227995</v>
      </c>
      <c r="H12" s="4">
        <v>1.43702187676315E-5</v>
      </c>
      <c r="I12">
        <v>1.8420007693054999E-4</v>
      </c>
      <c r="J12">
        <v>3.4651047475207499</v>
      </c>
      <c r="K12" t="s">
        <v>191</v>
      </c>
    </row>
    <row r="13" spans="1:11" ht="14.4" hidden="1" x14ac:dyDescent="0.3">
      <c r="A13">
        <v>12</v>
      </c>
      <c r="B13" t="s">
        <v>116</v>
      </c>
      <c r="C13"/>
      <c r="E13">
        <v>-0.97130963654782998</v>
      </c>
      <c r="F13">
        <v>-1.0496346751246599</v>
      </c>
      <c r="G13">
        <v>-8.7829159647729291</v>
      </c>
      <c r="H13" s="4">
        <v>2.17785934312952E-5</v>
      </c>
      <c r="I13">
        <v>2.3606267656641399E-4</v>
      </c>
      <c r="J13">
        <v>3.0165830281704902</v>
      </c>
      <c r="K13" t="s">
        <v>191</v>
      </c>
    </row>
    <row r="14" spans="1:11" ht="14.4" hidden="1" x14ac:dyDescent="0.3">
      <c r="A14">
        <v>13</v>
      </c>
      <c r="B14" t="s">
        <v>133</v>
      </c>
      <c r="C14"/>
      <c r="E14">
        <v>0.90448463455848604</v>
      </c>
      <c r="F14">
        <v>-1.62915920399481</v>
      </c>
      <c r="G14">
        <v>8.60801728677332</v>
      </c>
      <c r="H14" s="4">
        <v>2.5237654992945199E-5</v>
      </c>
      <c r="I14">
        <v>2.3606267656641399E-4</v>
      </c>
      <c r="J14">
        <v>2.8573412285294602</v>
      </c>
      <c r="K14" t="s">
        <v>191</v>
      </c>
    </row>
    <row r="15" spans="1:11" ht="14.4" hidden="1" x14ac:dyDescent="0.3">
      <c r="A15">
        <v>14</v>
      </c>
      <c r="B15" t="s">
        <v>67</v>
      </c>
      <c r="C15"/>
      <c r="E15">
        <v>0.94898743998346402</v>
      </c>
      <c r="F15">
        <v>-1.0665442696282901</v>
      </c>
      <c r="G15">
        <v>8.5955715653794407</v>
      </c>
      <c r="H15" s="4">
        <v>2.5506182545476601E-5</v>
      </c>
      <c r="I15">
        <v>2.3606267656641399E-4</v>
      </c>
      <c r="J15">
        <v>2.8459039531291599</v>
      </c>
      <c r="K15" t="s">
        <v>191</v>
      </c>
    </row>
    <row r="16" spans="1:11" ht="14.4" hidden="1" x14ac:dyDescent="0.3">
      <c r="A16">
        <v>15</v>
      </c>
      <c r="B16" t="s">
        <v>83</v>
      </c>
      <c r="C16"/>
      <c r="E16">
        <v>0.88995157222228105</v>
      </c>
      <c r="F16">
        <v>-1.77386371314873</v>
      </c>
      <c r="G16">
        <v>8.5474258212348797</v>
      </c>
      <c r="H16" s="4">
        <v>2.6575321171862901E-5</v>
      </c>
      <c r="I16">
        <v>2.3606267656641399E-4</v>
      </c>
      <c r="J16">
        <v>2.8015254977838202</v>
      </c>
      <c r="K16" t="s">
        <v>191</v>
      </c>
    </row>
    <row r="17" spans="1:11" ht="14.4" hidden="1" x14ac:dyDescent="0.3">
      <c r="A17">
        <v>16</v>
      </c>
      <c r="B17" t="s">
        <v>170</v>
      </c>
      <c r="C17"/>
      <c r="E17">
        <v>0.91943442438010703</v>
      </c>
      <c r="F17">
        <v>-1.3263498144665899</v>
      </c>
      <c r="G17">
        <v>8.5381380657465407</v>
      </c>
      <c r="H17" s="4">
        <v>2.6787254078458301E-5</v>
      </c>
      <c r="I17">
        <v>2.3606267656641399E-4</v>
      </c>
      <c r="J17">
        <v>2.79293992518864</v>
      </c>
      <c r="K17" t="s">
        <v>191</v>
      </c>
    </row>
    <row r="18" spans="1:11" ht="14.4" hidden="1" x14ac:dyDescent="0.3">
      <c r="A18">
        <v>17</v>
      </c>
      <c r="B18" t="s">
        <v>160</v>
      </c>
      <c r="C18"/>
      <c r="E18">
        <v>0.87198962218179699</v>
      </c>
      <c r="F18">
        <v>-1.9347676741684301</v>
      </c>
      <c r="G18">
        <v>8.4393995489644507</v>
      </c>
      <c r="H18" s="4">
        <v>2.9160419667165299E-5</v>
      </c>
      <c r="I18">
        <v>2.41859951357077E-4</v>
      </c>
      <c r="J18">
        <v>2.70117125040426</v>
      </c>
      <c r="K18" t="s">
        <v>191</v>
      </c>
    </row>
    <row r="19" spans="1:11" ht="14.4" hidden="1" x14ac:dyDescent="0.3">
      <c r="A19">
        <v>18</v>
      </c>
      <c r="B19" t="s">
        <v>62</v>
      </c>
      <c r="C19"/>
      <c r="E19">
        <v>0.82674819609918204</v>
      </c>
      <c r="F19">
        <v>-2.4265656063982202</v>
      </c>
      <c r="G19">
        <v>8.0325061060005396</v>
      </c>
      <c r="H19" s="4">
        <v>4.1737412598275299E-5</v>
      </c>
      <c r="I19">
        <v>3.2228292786979501E-4</v>
      </c>
      <c r="J19">
        <v>2.3131925312258699</v>
      </c>
      <c r="K19" t="s">
        <v>191</v>
      </c>
    </row>
    <row r="20" spans="1:11" ht="14.4" hidden="1" x14ac:dyDescent="0.3">
      <c r="A20">
        <v>19</v>
      </c>
      <c r="B20" t="s">
        <v>152</v>
      </c>
      <c r="C20"/>
      <c r="E20">
        <v>0.81941353790994098</v>
      </c>
      <c r="F20">
        <v>-2.3233969417798201</v>
      </c>
      <c r="G20">
        <v>7.9746825898124802</v>
      </c>
      <c r="H20" s="4">
        <v>4.3971418548497499E-5</v>
      </c>
      <c r="I20">
        <v>3.2228292786979501E-4</v>
      </c>
      <c r="J20">
        <v>2.2567383512347998</v>
      </c>
      <c r="K20" t="s">
        <v>191</v>
      </c>
    </row>
    <row r="21" spans="1:11" ht="14.4" hidden="1" x14ac:dyDescent="0.3">
      <c r="A21">
        <v>20</v>
      </c>
      <c r="B21" t="s">
        <v>119</v>
      </c>
      <c r="C21"/>
      <c r="E21">
        <v>0.824378138781379</v>
      </c>
      <c r="F21">
        <v>-1.8066504298691799</v>
      </c>
      <c r="G21">
        <v>7.9318026660144199</v>
      </c>
      <c r="H21" s="4">
        <v>4.5713890477984997E-5</v>
      </c>
      <c r="I21">
        <v>3.2228292786979501E-4</v>
      </c>
      <c r="J21">
        <v>2.2146564018099499</v>
      </c>
      <c r="K21" t="s">
        <v>191</v>
      </c>
    </row>
    <row r="22" spans="1:11" ht="14.4" x14ac:dyDescent="0.3">
      <c r="A22">
        <v>41</v>
      </c>
      <c r="B22" t="s">
        <v>166</v>
      </c>
      <c r="C22" s="28" t="str">
        <f>VLOOKUP(B22,'Uniprot-API'!$A$1:$D$165,2,)</f>
        <v>PGAM1</v>
      </c>
      <c r="D22" s="1" t="str">
        <f>VLOOKUP(B22,'BiomaRt Ensembl'!$A$1:$F$327,2,)</f>
        <v>PGAM1</v>
      </c>
      <c r="E22">
        <v>-1.4531199051834101</v>
      </c>
      <c r="F22">
        <v>-0.31287963618610398</v>
      </c>
      <c r="G22">
        <v>-3.81350793515205</v>
      </c>
      <c r="H22">
        <v>5.1099952914639797E-3</v>
      </c>
      <c r="I22">
        <v>1.7421686283496302E-2</v>
      </c>
      <c r="J22">
        <v>-2.8745596010763901</v>
      </c>
      <c r="K22" t="s">
        <v>195</v>
      </c>
    </row>
    <row r="23" spans="1:11" ht="14.4" hidden="1" x14ac:dyDescent="0.3">
      <c r="A23">
        <v>22</v>
      </c>
      <c r="B23" t="s">
        <v>28</v>
      </c>
      <c r="C23"/>
      <c r="E23">
        <v>0.91401370776650903</v>
      </c>
      <c r="F23">
        <v>-2.2760968568515398</v>
      </c>
      <c r="G23">
        <v>7.6601393979247501</v>
      </c>
      <c r="H23" s="4">
        <v>5.8707538273479397E-5</v>
      </c>
      <c r="I23">
        <v>3.7626194984366398E-4</v>
      </c>
      <c r="J23">
        <v>1.94366185822418</v>
      </c>
      <c r="K23" t="s">
        <v>191</v>
      </c>
    </row>
    <row r="24" spans="1:11" ht="14.4" hidden="1" x14ac:dyDescent="0.3">
      <c r="A24">
        <v>23</v>
      </c>
      <c r="B24" t="s">
        <v>77</v>
      </c>
      <c r="C24"/>
      <c r="E24">
        <v>0.85635913511163197</v>
      </c>
      <c r="F24">
        <v>-3.78849859041458</v>
      </c>
      <c r="G24">
        <v>7.2750029419883502</v>
      </c>
      <c r="H24" s="4">
        <v>8.4725476577867501E-5</v>
      </c>
      <c r="I24">
        <v>5.1940400858605797E-4</v>
      </c>
      <c r="J24">
        <v>1.5460132062979199</v>
      </c>
      <c r="K24" t="s">
        <v>191</v>
      </c>
    </row>
    <row r="25" spans="1:11" ht="14.4" hidden="1" x14ac:dyDescent="0.3">
      <c r="A25">
        <v>24</v>
      </c>
      <c r="B25" t="s">
        <v>25</v>
      </c>
      <c r="C25"/>
      <c r="E25">
        <v>-0.73884056024964895</v>
      </c>
      <c r="F25">
        <v>-1.8660778080678999</v>
      </c>
      <c r="G25">
        <v>-7.1298249440090604</v>
      </c>
      <c r="H25" s="4">
        <v>9.7668889832548493E-5</v>
      </c>
      <c r="I25">
        <v>5.7380472776622198E-4</v>
      </c>
      <c r="J25">
        <v>1.3918527759661199</v>
      </c>
      <c r="K25" t="s">
        <v>191</v>
      </c>
    </row>
    <row r="26" spans="1:11" ht="14.4" hidden="1" x14ac:dyDescent="0.3">
      <c r="A26">
        <v>25</v>
      </c>
      <c r="B26" t="s">
        <v>24</v>
      </c>
      <c r="C26"/>
      <c r="E26">
        <v>-0.77828702296911401</v>
      </c>
      <c r="F26">
        <v>-0.90804252383533601</v>
      </c>
      <c r="G26">
        <v>-6.93746351302772</v>
      </c>
      <c r="H26">
        <v>1.18316761379997E-4</v>
      </c>
      <c r="I26">
        <v>6.5601836271838502E-4</v>
      </c>
      <c r="J26">
        <v>1.1838605542605101</v>
      </c>
      <c r="K26" t="s">
        <v>191</v>
      </c>
    </row>
    <row r="27" spans="1:11" ht="14.4" hidden="1" x14ac:dyDescent="0.3">
      <c r="A27">
        <v>26</v>
      </c>
      <c r="B27" t="s">
        <v>111</v>
      </c>
      <c r="C27"/>
      <c r="E27">
        <v>-0.89561098499030001</v>
      </c>
      <c r="F27">
        <v>0.368345717259981</v>
      </c>
      <c r="G27">
        <v>-6.9154898502584601</v>
      </c>
      <c r="H27">
        <v>1.20967925040269E-4</v>
      </c>
      <c r="I27">
        <v>6.5601836271838502E-4</v>
      </c>
      <c r="J27">
        <v>1.15982608658699</v>
      </c>
      <c r="K27" t="s">
        <v>191</v>
      </c>
    </row>
    <row r="28" spans="1:11" ht="14.4" x14ac:dyDescent="0.3">
      <c r="A28">
        <v>53</v>
      </c>
      <c r="B28" t="s">
        <v>9</v>
      </c>
      <c r="C28" s="28" t="str">
        <f>VLOOKUP(B28,'Uniprot-API'!$A$1:$D$165,2,)</f>
        <v>ALB</v>
      </c>
      <c r="D28" s="1" t="e">
        <f>VLOOKUP(B28,'BiomaRt Ensembl'!$A$1:$F$327,2,)</f>
        <v>#N/A</v>
      </c>
      <c r="E28">
        <v>-1.18381436355782</v>
      </c>
      <c r="F28">
        <v>3.4852478138423901</v>
      </c>
      <c r="G28">
        <v>-3.10565021534144</v>
      </c>
      <c r="H28">
        <v>1.44904645351895E-2</v>
      </c>
      <c r="I28">
        <v>3.8324217703472899E-2</v>
      </c>
      <c r="J28">
        <v>-3.9704432941484602</v>
      </c>
      <c r="K28" t="s">
        <v>195</v>
      </c>
    </row>
    <row r="29" spans="1:11" ht="14.4" x14ac:dyDescent="0.3">
      <c r="A29">
        <v>1</v>
      </c>
      <c r="B29" t="s">
        <v>158</v>
      </c>
      <c r="C29" s="28" t="str">
        <f>VLOOKUP(B29,'Uniprot-API'!$A$1:$D$165,2,)</f>
        <v>RRBP1</v>
      </c>
      <c r="D29" s="1" t="str">
        <f>VLOOKUP(B29,'BiomaRt Ensembl'!$A$1:$F$327,2,)</f>
        <v>RRBP1</v>
      </c>
      <c r="E29">
        <v>1.98118006977768</v>
      </c>
      <c r="F29">
        <v>-3.2260881230815599</v>
      </c>
      <c r="G29">
        <v>18.235984484082799</v>
      </c>
      <c r="H29" s="4">
        <v>8.1364776838440601E-8</v>
      </c>
      <c r="I29" s="4">
        <v>8.7441699066823104E-6</v>
      </c>
      <c r="J29">
        <v>8.8812883128441893</v>
      </c>
      <c r="K29" t="s">
        <v>196</v>
      </c>
    </row>
    <row r="30" spans="1:11" ht="14.4" hidden="1" x14ac:dyDescent="0.3">
      <c r="A30">
        <v>29</v>
      </c>
      <c r="B30" t="s">
        <v>135</v>
      </c>
      <c r="C30"/>
      <c r="E30">
        <v>0.61303661825464395</v>
      </c>
      <c r="F30">
        <v>-2.4265854016074702</v>
      </c>
      <c r="G30">
        <v>5.9561281327507603</v>
      </c>
      <c r="H30">
        <v>3.3593129671797601E-4</v>
      </c>
      <c r="I30">
        <v>1.6333211323184299E-3</v>
      </c>
      <c r="J30">
        <v>5.2339202974906102E-2</v>
      </c>
      <c r="K30" t="s">
        <v>191</v>
      </c>
    </row>
    <row r="31" spans="1:11" ht="14.4" x14ac:dyDescent="0.3">
      <c r="A31">
        <v>2</v>
      </c>
      <c r="B31" t="s">
        <v>48</v>
      </c>
      <c r="C31" s="28" t="str">
        <f>VLOOKUP(B31,'Uniprot-API'!$A$1:$D$165,2,)</f>
        <v>DPYSL2</v>
      </c>
      <c r="D31" s="1" t="str">
        <f>VLOOKUP(B31,'BiomaRt Ensembl'!$A$1:$F$327,2,)</f>
        <v>DPYSL2</v>
      </c>
      <c r="E31">
        <v>1.7784076287444099</v>
      </c>
      <c r="F31">
        <v>-2.0661207010877698</v>
      </c>
      <c r="G31">
        <v>17.28163898951</v>
      </c>
      <c r="H31" s="4">
        <v>1.2403077881818901E-7</v>
      </c>
      <c r="I31" s="4">
        <v>8.7441699066823104E-6</v>
      </c>
      <c r="J31">
        <v>8.4579962005065497</v>
      </c>
      <c r="K31" t="s">
        <v>196</v>
      </c>
    </row>
    <row r="32" spans="1:11" ht="14.4" hidden="1" x14ac:dyDescent="0.3">
      <c r="A32">
        <v>31</v>
      </c>
      <c r="B32" t="s">
        <v>121</v>
      </c>
      <c r="C32"/>
      <c r="E32">
        <v>-0.99959665020324995</v>
      </c>
      <c r="F32">
        <v>-1.37543569347365</v>
      </c>
      <c r="G32">
        <v>-5.5728359635901903</v>
      </c>
      <c r="H32">
        <v>5.2146938432506905E-4</v>
      </c>
      <c r="I32">
        <v>2.3718446190269301E-3</v>
      </c>
      <c r="J32">
        <v>-0.42382459742767298</v>
      </c>
      <c r="K32" t="s">
        <v>191</v>
      </c>
    </row>
    <row r="33" spans="1:11" ht="14.4" x14ac:dyDescent="0.3">
      <c r="A33">
        <v>3</v>
      </c>
      <c r="B33" t="s">
        <v>71</v>
      </c>
      <c r="C33" s="28">
        <f>VLOOKUP(B33,'Uniprot-API'!$A$1:$D$165,2,)</f>
        <v>0</v>
      </c>
      <c r="D33" s="1" t="e">
        <f>VLOOKUP(B33,'BiomaRt Ensembl'!$A$1:$F$327,2,)</f>
        <v>#N/A</v>
      </c>
      <c r="E33">
        <v>1.5499263021018701</v>
      </c>
      <c r="F33">
        <v>-1.5957993342084</v>
      </c>
      <c r="G33">
        <v>14.715761392004101</v>
      </c>
      <c r="H33" s="4">
        <v>4.34549786646189E-7</v>
      </c>
      <c r="I33" s="4">
        <v>1.4049087176695599E-5</v>
      </c>
      <c r="J33">
        <v>7.1749243970101499</v>
      </c>
      <c r="K33" t="s">
        <v>196</v>
      </c>
    </row>
    <row r="34" spans="1:11" ht="14.4" hidden="1" x14ac:dyDescent="0.3">
      <c r="A34">
        <v>33</v>
      </c>
      <c r="B34" t="s">
        <v>73</v>
      </c>
      <c r="C34"/>
      <c r="E34">
        <v>0.84147711387119695</v>
      </c>
      <c r="F34">
        <v>0.45252455395353203</v>
      </c>
      <c r="G34">
        <v>4.8658310215844596</v>
      </c>
      <c r="H34">
        <v>1.2365138984472899E-3</v>
      </c>
      <c r="I34">
        <v>5.2832866570020698E-3</v>
      </c>
      <c r="J34">
        <v>-1.35613907501605</v>
      </c>
      <c r="K34" t="s">
        <v>191</v>
      </c>
    </row>
    <row r="35" spans="1:11" ht="14.4" hidden="1" x14ac:dyDescent="0.3">
      <c r="A35">
        <v>34</v>
      </c>
      <c r="B35" t="s">
        <v>134</v>
      </c>
      <c r="C35"/>
      <c r="E35">
        <v>0.59739951806230895</v>
      </c>
      <c r="F35">
        <v>-1.3354175885361701</v>
      </c>
      <c r="G35">
        <v>4.3187060037648397</v>
      </c>
      <c r="H35">
        <v>2.5337311246567801E-3</v>
      </c>
      <c r="I35">
        <v>1.0507532016959E-2</v>
      </c>
      <c r="J35">
        <v>-2.1266503768607201</v>
      </c>
      <c r="K35" t="s">
        <v>191</v>
      </c>
    </row>
    <row r="36" spans="1:11" ht="14.4" x14ac:dyDescent="0.3">
      <c r="A36">
        <v>4</v>
      </c>
      <c r="B36" t="s">
        <v>101</v>
      </c>
      <c r="C36" s="28" t="str">
        <f>VLOOKUP(B36,'Uniprot-API'!$A$1:$D$165,2,)</f>
        <v>ALDOA</v>
      </c>
      <c r="D36" s="1" t="e">
        <f>VLOOKUP(B36,'BiomaRt Ensembl'!$A$1:$F$327,2,)</f>
        <v>#N/A</v>
      </c>
      <c r="E36">
        <v>1.556433954856</v>
      </c>
      <c r="F36">
        <v>-1.3702675270645599</v>
      </c>
      <c r="G36">
        <v>14.510438970687</v>
      </c>
      <c r="H36" s="4">
        <v>4.8461641246062596E-7</v>
      </c>
      <c r="I36" s="4">
        <v>1.4049087176695599E-5</v>
      </c>
      <c r="J36">
        <v>7.0618307664926698</v>
      </c>
      <c r="K36" t="s">
        <v>196</v>
      </c>
    </row>
    <row r="37" spans="1:11" ht="14.4" hidden="1" x14ac:dyDescent="0.3">
      <c r="A37">
        <v>36</v>
      </c>
      <c r="B37" t="s">
        <v>107</v>
      </c>
      <c r="C37"/>
      <c r="E37">
        <v>0.83496692542725404</v>
      </c>
      <c r="F37">
        <v>-2.3156202480211601</v>
      </c>
      <c r="G37">
        <v>3.9958704602037298</v>
      </c>
      <c r="H37">
        <v>3.9498743873557602E-3</v>
      </c>
      <c r="I37">
        <v>1.54703413504767E-2</v>
      </c>
      <c r="J37">
        <v>-2.6007794891733198</v>
      </c>
      <c r="K37" t="s">
        <v>191</v>
      </c>
    </row>
    <row r="38" spans="1:11" ht="14.4" hidden="1" x14ac:dyDescent="0.3">
      <c r="A38">
        <v>37</v>
      </c>
      <c r="B38" t="s">
        <v>167</v>
      </c>
      <c r="C38"/>
      <c r="E38">
        <v>-0.98945158419967905</v>
      </c>
      <c r="F38">
        <v>-0.86657632792875205</v>
      </c>
      <c r="G38">
        <v>-3.9149747779440198</v>
      </c>
      <c r="H38">
        <v>4.42524700297509E-3</v>
      </c>
      <c r="I38">
        <v>1.6576178784781199E-2</v>
      </c>
      <c r="J38">
        <v>-2.72172016427246</v>
      </c>
      <c r="K38" t="s">
        <v>191</v>
      </c>
    </row>
    <row r="39" spans="1:11" ht="14.4" hidden="1" x14ac:dyDescent="0.3">
      <c r="A39">
        <v>38</v>
      </c>
      <c r="B39" t="s">
        <v>149</v>
      </c>
      <c r="C39"/>
      <c r="E39">
        <v>-0.56847821212868099</v>
      </c>
      <c r="F39">
        <v>-1.96724947703195</v>
      </c>
      <c r="G39">
        <v>-3.9013864061430099</v>
      </c>
      <c r="H39">
        <v>4.5109501121465998E-3</v>
      </c>
      <c r="I39">
        <v>1.6576178784781199E-2</v>
      </c>
      <c r="J39">
        <v>-2.7421153877073801</v>
      </c>
      <c r="K39" t="s">
        <v>191</v>
      </c>
    </row>
    <row r="40" spans="1:11" ht="14.4" hidden="1" x14ac:dyDescent="0.3">
      <c r="A40">
        <v>39</v>
      </c>
      <c r="B40" t="s">
        <v>140</v>
      </c>
      <c r="C40"/>
      <c r="E40">
        <v>0.42387511444702802</v>
      </c>
      <c r="F40">
        <v>-1.19985604751359</v>
      </c>
      <c r="G40">
        <v>3.8898820552021198</v>
      </c>
      <c r="H40">
        <v>4.5849005149394897E-3</v>
      </c>
      <c r="I40">
        <v>1.6576178784781199E-2</v>
      </c>
      <c r="J40">
        <v>-2.759400457001</v>
      </c>
      <c r="K40" t="s">
        <v>191</v>
      </c>
    </row>
    <row r="41" spans="1:11" ht="14.4" hidden="1" x14ac:dyDescent="0.3">
      <c r="A41">
        <v>40</v>
      </c>
      <c r="B41" t="s">
        <v>94</v>
      </c>
      <c r="C41"/>
      <c r="E41">
        <v>0.39822868438231002</v>
      </c>
      <c r="F41">
        <v>-2.0197251570687098</v>
      </c>
      <c r="G41">
        <v>3.8652119171274499</v>
      </c>
      <c r="H41">
        <v>4.7478980316806602E-3</v>
      </c>
      <c r="I41">
        <v>1.67363405616743E-2</v>
      </c>
      <c r="J41">
        <v>-2.7965215887597998</v>
      </c>
      <c r="K41" t="s">
        <v>191</v>
      </c>
    </row>
    <row r="42" spans="1:11" ht="14.4" x14ac:dyDescent="0.3">
      <c r="A42">
        <v>10</v>
      </c>
      <c r="B42" t="s">
        <v>169</v>
      </c>
      <c r="C42" s="28" t="str">
        <f>VLOOKUP(B42,'Uniprot-API'!$A$1:$D$165,2,)</f>
        <v>CYCS</v>
      </c>
      <c r="D42" s="1" t="str">
        <f>VLOOKUP(B42,'BiomaRt Ensembl'!$A$1:$F$327,2,)</f>
        <v>CYCS</v>
      </c>
      <c r="E42">
        <v>1.3240313420869401</v>
      </c>
      <c r="F42">
        <v>0.79309368538145297</v>
      </c>
      <c r="G42">
        <v>9.6933085151063398</v>
      </c>
      <c r="H42" s="4">
        <v>1.0498057589158801E-5</v>
      </c>
      <c r="I42">
        <v>1.4802261200713899E-4</v>
      </c>
      <c r="J42">
        <v>3.80310434229014</v>
      </c>
      <c r="K42" t="s">
        <v>196</v>
      </c>
    </row>
    <row r="43" spans="1:11" ht="14.4" hidden="1" x14ac:dyDescent="0.3">
      <c r="A43">
        <v>42</v>
      </c>
      <c r="B43" t="s">
        <v>49</v>
      </c>
      <c r="C43"/>
      <c r="E43">
        <v>0.79621664147673898</v>
      </c>
      <c r="F43">
        <v>-0.43767904572868499</v>
      </c>
      <c r="G43">
        <v>3.8026890558874502</v>
      </c>
      <c r="H43">
        <v>5.1894384674244301E-3</v>
      </c>
      <c r="I43">
        <v>1.7421686283496302E-2</v>
      </c>
      <c r="J43">
        <v>-2.89092920390171</v>
      </c>
      <c r="K43" t="s">
        <v>191</v>
      </c>
    </row>
    <row r="44" spans="1:11" ht="14.4" hidden="1" x14ac:dyDescent="0.3">
      <c r="A44">
        <v>43</v>
      </c>
      <c r="B44" t="s">
        <v>168</v>
      </c>
      <c r="C44"/>
      <c r="E44">
        <v>0.39160566617815301</v>
      </c>
      <c r="F44">
        <v>-1.5902641935675601</v>
      </c>
      <c r="G44">
        <v>3.7165999546219699</v>
      </c>
      <c r="H44">
        <v>5.8706859014146196E-3</v>
      </c>
      <c r="I44">
        <v>1.9250388653475899E-2</v>
      </c>
      <c r="J44">
        <v>-3.0216735554833201</v>
      </c>
      <c r="K44" t="s">
        <v>191</v>
      </c>
    </row>
    <row r="45" spans="1:11" ht="14.4" hidden="1" x14ac:dyDescent="0.3">
      <c r="A45">
        <v>44</v>
      </c>
      <c r="B45" t="s">
        <v>55</v>
      </c>
      <c r="C45"/>
      <c r="E45">
        <v>0.87591960864738505</v>
      </c>
      <c r="F45">
        <v>-1.69017113345593</v>
      </c>
      <c r="G45">
        <v>3.6855758026285601</v>
      </c>
      <c r="H45">
        <v>6.13908807933994E-3</v>
      </c>
      <c r="I45">
        <v>1.9520446523628301E-2</v>
      </c>
      <c r="J45">
        <v>-3.06899725814502</v>
      </c>
      <c r="K45" t="s">
        <v>191</v>
      </c>
    </row>
    <row r="46" spans="1:11" ht="14.4" hidden="1" x14ac:dyDescent="0.3">
      <c r="A46">
        <v>45</v>
      </c>
      <c r="B46" t="s">
        <v>161</v>
      </c>
      <c r="C46"/>
      <c r="E46">
        <v>0.38294955568538902</v>
      </c>
      <c r="F46">
        <v>-2.7638497376172801</v>
      </c>
      <c r="G46">
        <v>3.6685237196710898</v>
      </c>
      <c r="H46">
        <v>6.2921605243222104E-3</v>
      </c>
      <c r="I46">
        <v>1.9520446523628301E-2</v>
      </c>
      <c r="J46">
        <v>-3.0950537125983701</v>
      </c>
      <c r="K46" t="s">
        <v>191</v>
      </c>
    </row>
    <row r="47" spans="1:11" ht="14.4" hidden="1" x14ac:dyDescent="0.3">
      <c r="A47">
        <v>46</v>
      </c>
      <c r="B47" t="s">
        <v>171</v>
      </c>
      <c r="C47"/>
      <c r="E47">
        <v>0.40309388021813602</v>
      </c>
      <c r="F47">
        <v>-1.09163470119457</v>
      </c>
      <c r="G47">
        <v>3.6601979564511802</v>
      </c>
      <c r="H47">
        <v>6.3683726247297902E-3</v>
      </c>
      <c r="I47">
        <v>1.9520446523628301E-2</v>
      </c>
      <c r="J47">
        <v>-3.1077874942816899</v>
      </c>
      <c r="K47" t="s">
        <v>191</v>
      </c>
    </row>
    <row r="48" spans="1:11" ht="14.4" hidden="1" x14ac:dyDescent="0.3">
      <c r="A48">
        <v>47</v>
      </c>
      <c r="B48" t="s">
        <v>65</v>
      </c>
      <c r="C48"/>
      <c r="E48">
        <v>0.73605116538505999</v>
      </c>
      <c r="F48">
        <v>-3.1716609360643702</v>
      </c>
      <c r="G48">
        <v>3.6312416859162902</v>
      </c>
      <c r="H48">
        <v>6.6411845386817204E-3</v>
      </c>
      <c r="I48">
        <v>1.9923553616045201E-2</v>
      </c>
      <c r="J48">
        <v>-3.1521329811617602</v>
      </c>
      <c r="K48" t="s">
        <v>191</v>
      </c>
    </row>
    <row r="49" spans="1:11" ht="14.4" hidden="1" x14ac:dyDescent="0.3">
      <c r="A49">
        <v>48</v>
      </c>
      <c r="B49" t="s">
        <v>79</v>
      </c>
      <c r="C49"/>
      <c r="E49">
        <v>0.37231656306251099</v>
      </c>
      <c r="F49">
        <v>-1.5474604015598501</v>
      </c>
      <c r="G49">
        <v>3.5222565830310901</v>
      </c>
      <c r="H49">
        <v>7.7849102995297204E-3</v>
      </c>
      <c r="I49">
        <v>2.2868174004868499E-2</v>
      </c>
      <c r="J49">
        <v>-3.3198268222062399</v>
      </c>
      <c r="K49" t="s">
        <v>191</v>
      </c>
    </row>
    <row r="50" spans="1:11" ht="14.4" hidden="1" x14ac:dyDescent="0.3">
      <c r="A50">
        <v>49</v>
      </c>
      <c r="B50" t="s">
        <v>37</v>
      </c>
      <c r="C50"/>
      <c r="E50">
        <v>0.348227035558756</v>
      </c>
      <c r="F50">
        <v>-1.90728800349467</v>
      </c>
      <c r="G50">
        <v>3.36652417442372</v>
      </c>
      <c r="H50">
        <v>9.7957959292264696E-3</v>
      </c>
      <c r="I50">
        <v>2.81879025718558E-2</v>
      </c>
      <c r="J50">
        <v>-3.56143810124758</v>
      </c>
      <c r="K50" t="s">
        <v>191</v>
      </c>
    </row>
    <row r="51" spans="1:11" ht="14.4" hidden="1" x14ac:dyDescent="0.3">
      <c r="A51">
        <v>50</v>
      </c>
      <c r="B51" t="s">
        <v>13</v>
      </c>
      <c r="C51"/>
      <c r="E51">
        <v>-0.85000445909441802</v>
      </c>
      <c r="F51">
        <v>-0.160256950536214</v>
      </c>
      <c r="G51">
        <v>-3.2309011227753399</v>
      </c>
      <c r="H51">
        <v>1.19953378182069E-2</v>
      </c>
      <c r="I51">
        <v>3.3826852647343399E-2</v>
      </c>
      <c r="J51">
        <v>-3.7734990330171798</v>
      </c>
      <c r="K51" t="s">
        <v>191</v>
      </c>
    </row>
    <row r="52" spans="1:11" ht="14.4" hidden="1" x14ac:dyDescent="0.3">
      <c r="A52">
        <v>51</v>
      </c>
      <c r="B52" t="s">
        <v>120</v>
      </c>
      <c r="C52"/>
      <c r="E52">
        <v>-0.62276015687970798</v>
      </c>
      <c r="F52">
        <v>-2.3286797613813701</v>
      </c>
      <c r="G52">
        <v>-3.1738804001436001</v>
      </c>
      <c r="H52">
        <v>1.3070148883668401E-2</v>
      </c>
      <c r="I52">
        <v>3.6135117501906802E-2</v>
      </c>
      <c r="J52">
        <v>-3.8630431818891799</v>
      </c>
      <c r="K52" t="s">
        <v>191</v>
      </c>
    </row>
    <row r="53" spans="1:11" ht="14.4" hidden="1" x14ac:dyDescent="0.3">
      <c r="A53">
        <v>52</v>
      </c>
      <c r="B53" t="s">
        <v>31</v>
      </c>
      <c r="C53"/>
      <c r="E53">
        <v>-0.51951558296293299</v>
      </c>
      <c r="F53">
        <v>-1.31299667507971</v>
      </c>
      <c r="G53">
        <v>-3.1415788942603702</v>
      </c>
      <c r="H53">
        <v>1.37234400008697E-2</v>
      </c>
      <c r="I53">
        <v>3.7211635386973703E-2</v>
      </c>
      <c r="J53">
        <v>-3.9138565272024799</v>
      </c>
      <c r="K53" t="s">
        <v>191</v>
      </c>
    </row>
    <row r="54" spans="1:11" ht="14.4" x14ac:dyDescent="0.3">
      <c r="A54">
        <v>35</v>
      </c>
      <c r="B54" t="s">
        <v>56</v>
      </c>
      <c r="C54" s="28" t="str">
        <f>VLOOKUP(B54,'Uniprot-API'!$A$1:$D$165,2,)</f>
        <v>SOD2</v>
      </c>
      <c r="D54" s="1" t="str">
        <f>VLOOKUP(B54,'BiomaRt Ensembl'!$A$1:$F$327,2,)</f>
        <v>SOD2</v>
      </c>
      <c r="E54">
        <v>1.02504766728937</v>
      </c>
      <c r="F54">
        <v>-0.57856434143948499</v>
      </c>
      <c r="G54">
        <v>4.1824122133162103</v>
      </c>
      <c r="H54">
        <v>3.0503804869158502E-3</v>
      </c>
      <c r="I54">
        <v>1.2288675675861E-2</v>
      </c>
      <c r="J54">
        <v>-2.3251159018798799</v>
      </c>
      <c r="K54" t="s">
        <v>196</v>
      </c>
    </row>
    <row r="55" spans="1:11" ht="14.4" hidden="1" x14ac:dyDescent="0.3">
      <c r="A55">
        <v>54</v>
      </c>
      <c r="B55" t="s">
        <v>47</v>
      </c>
      <c r="C55"/>
      <c r="E55">
        <v>-0.44380016135358502</v>
      </c>
      <c r="F55">
        <v>-1.40548500351518</v>
      </c>
      <c r="G55">
        <v>-3.09050120757108</v>
      </c>
      <c r="H55">
        <v>1.48272018397387E-2</v>
      </c>
      <c r="I55">
        <v>3.8324217703472899E-2</v>
      </c>
      <c r="J55">
        <v>-3.9943223818395301</v>
      </c>
      <c r="K55" t="s">
        <v>191</v>
      </c>
    </row>
    <row r="56" spans="1:11" ht="14.4" x14ac:dyDescent="0.3">
      <c r="A56">
        <v>55</v>
      </c>
      <c r="B56" t="s">
        <v>86</v>
      </c>
      <c r="C56" s="28" t="str">
        <f>VLOOKUP(B56,'Uniprot-API'!$A$1:$D$165,2,)</f>
        <v>VCL</v>
      </c>
      <c r="D56" s="1" t="str">
        <f>VLOOKUP(B56,'BiomaRt Ensembl'!$A$1:$F$327,2,)</f>
        <v>VCL</v>
      </c>
      <c r="E56">
        <v>1.05563736925651</v>
      </c>
      <c r="F56">
        <v>-3.01186783412864</v>
      </c>
      <c r="G56">
        <v>3.0851030622274802</v>
      </c>
      <c r="H56">
        <v>1.4949162933978801E-2</v>
      </c>
      <c r="I56">
        <v>3.8324217703472899E-2</v>
      </c>
      <c r="J56">
        <v>-4.0028340563426603</v>
      </c>
      <c r="K56" t="s">
        <v>196</v>
      </c>
    </row>
    <row r="57" spans="1:11" ht="14.4" hidden="1" x14ac:dyDescent="0.3">
      <c r="A57">
        <v>56</v>
      </c>
      <c r="B57" t="s">
        <v>87</v>
      </c>
      <c r="C57"/>
      <c r="E57">
        <v>1.18971086346187</v>
      </c>
      <c r="F57">
        <v>-0.62434460608907105</v>
      </c>
      <c r="G57">
        <v>2.8953325045716598</v>
      </c>
      <c r="H57">
        <v>1.9974913696147598E-2</v>
      </c>
      <c r="I57">
        <v>5.0293979127800197E-2</v>
      </c>
      <c r="J57">
        <v>-4.3027514047428896</v>
      </c>
      <c r="K57" t="s">
        <v>191</v>
      </c>
    </row>
    <row r="58" spans="1:11" ht="14.4" hidden="1" x14ac:dyDescent="0.3">
      <c r="A58">
        <v>57</v>
      </c>
      <c r="B58" t="s">
        <v>69</v>
      </c>
      <c r="C58"/>
      <c r="E58">
        <v>-1.11113319355357</v>
      </c>
      <c r="F58">
        <v>-3.3378093996114599</v>
      </c>
      <c r="G58">
        <v>-2.7397411473088602</v>
      </c>
      <c r="H58">
        <v>2.5392345159910901E-2</v>
      </c>
      <c r="I58">
        <v>6.2125956614918397E-2</v>
      </c>
      <c r="J58">
        <v>-4.5491058213622599</v>
      </c>
      <c r="K58" t="s">
        <v>191</v>
      </c>
    </row>
    <row r="59" spans="1:11" ht="14.4" hidden="1" x14ac:dyDescent="0.3">
      <c r="A59">
        <v>58</v>
      </c>
      <c r="B59" t="s">
        <v>144</v>
      </c>
      <c r="C59"/>
      <c r="E59">
        <v>-0.44635044996892398</v>
      </c>
      <c r="F59">
        <v>-2.5095751257752901</v>
      </c>
      <c r="G59">
        <v>-2.7356078871855298</v>
      </c>
      <c r="H59">
        <v>2.55553580401792E-2</v>
      </c>
      <c r="I59">
        <v>6.2125956614918397E-2</v>
      </c>
      <c r="J59">
        <v>-4.5556483796754899</v>
      </c>
      <c r="K59" t="s">
        <v>191</v>
      </c>
    </row>
    <row r="60" spans="1:11" ht="14.4" hidden="1" x14ac:dyDescent="0.3">
      <c r="A60">
        <v>59</v>
      </c>
      <c r="B60" t="s">
        <v>145</v>
      </c>
      <c r="C60"/>
      <c r="E60">
        <v>-0.27957282525752902</v>
      </c>
      <c r="F60">
        <v>-2.5105488978880999</v>
      </c>
      <c r="G60">
        <v>-2.7100334263966799</v>
      </c>
      <c r="H60">
        <v>2.6588196313851099E-2</v>
      </c>
      <c r="I60">
        <v>6.3541282716152697E-2</v>
      </c>
      <c r="J60">
        <v>-4.5961232681565001</v>
      </c>
      <c r="K60" t="s">
        <v>191</v>
      </c>
    </row>
    <row r="61" spans="1:11" ht="14.4" hidden="1" x14ac:dyDescent="0.3">
      <c r="A61">
        <v>60</v>
      </c>
      <c r="B61" t="s">
        <v>165</v>
      </c>
      <c r="C61"/>
      <c r="E61">
        <v>-0.27957282525752902</v>
      </c>
      <c r="F61">
        <v>-1.87340509571987</v>
      </c>
      <c r="G61">
        <v>-2.6987941861685298</v>
      </c>
      <c r="H61">
        <v>2.7055564817239499E-2</v>
      </c>
      <c r="I61">
        <v>6.3556325565317498E-2</v>
      </c>
      <c r="J61">
        <v>-4.6139063468089301</v>
      </c>
      <c r="K61" t="s">
        <v>191</v>
      </c>
    </row>
    <row r="62" spans="1:11" ht="14.4" hidden="1" x14ac:dyDescent="0.3">
      <c r="A62">
        <v>61</v>
      </c>
      <c r="B62" t="s">
        <v>141</v>
      </c>
      <c r="C62"/>
      <c r="E62">
        <v>-0.45194359503126702</v>
      </c>
      <c r="F62">
        <v>-1.64042816829488</v>
      </c>
      <c r="G62">
        <v>-2.6883834786466401</v>
      </c>
      <c r="H62">
        <v>2.74959990034352E-2</v>
      </c>
      <c r="I62">
        <v>6.3556325565317498E-2</v>
      </c>
      <c r="J62">
        <v>-4.6303756588578802</v>
      </c>
      <c r="K62" t="s">
        <v>191</v>
      </c>
    </row>
    <row r="63" spans="1:11" ht="14.4" hidden="1" x14ac:dyDescent="0.3">
      <c r="A63">
        <v>62</v>
      </c>
      <c r="B63" t="s">
        <v>96</v>
      </c>
      <c r="C63"/>
      <c r="E63">
        <v>-0.27957282525753002</v>
      </c>
      <c r="F63">
        <v>-1.6808244022487899</v>
      </c>
      <c r="G63">
        <v>-2.6699918223279502</v>
      </c>
      <c r="H63">
        <v>2.8292120928178899E-2</v>
      </c>
      <c r="I63">
        <v>6.43417588850521E-2</v>
      </c>
      <c r="J63">
        <v>-4.6594630272510198</v>
      </c>
      <c r="K63" t="s">
        <v>191</v>
      </c>
    </row>
    <row r="64" spans="1:11" ht="14.4" hidden="1" x14ac:dyDescent="0.3">
      <c r="A64">
        <v>63</v>
      </c>
      <c r="B64" t="s">
        <v>159</v>
      </c>
      <c r="C64"/>
      <c r="E64">
        <v>-0.27957282525752902</v>
      </c>
      <c r="F64">
        <v>-2.9797261170765799</v>
      </c>
      <c r="G64">
        <v>-2.6364354078871002</v>
      </c>
      <c r="H64">
        <v>2.98060428982201E-2</v>
      </c>
      <c r="I64">
        <v>6.6708762676968694E-2</v>
      </c>
      <c r="J64">
        <v>-4.7125054137151299</v>
      </c>
      <c r="K64" t="s">
        <v>191</v>
      </c>
    </row>
    <row r="65" spans="1:11" ht="14.4" hidden="1" x14ac:dyDescent="0.3">
      <c r="A65">
        <v>64</v>
      </c>
      <c r="B65" t="s">
        <v>59</v>
      </c>
      <c r="C65"/>
      <c r="E65">
        <v>0.47670108189218402</v>
      </c>
      <c r="F65">
        <v>-2.5414066492949998</v>
      </c>
      <c r="G65">
        <v>2.62001931574052</v>
      </c>
      <c r="H65">
        <v>3.0576591668079502E-2</v>
      </c>
      <c r="I65">
        <v>6.7364053518737699E-2</v>
      </c>
      <c r="J65">
        <v>-4.7384384122669498</v>
      </c>
      <c r="K65" t="s">
        <v>191</v>
      </c>
    </row>
    <row r="66" spans="1:11" ht="14.4" hidden="1" x14ac:dyDescent="0.3">
      <c r="A66">
        <v>65</v>
      </c>
      <c r="B66" t="s">
        <v>123</v>
      </c>
      <c r="C66"/>
      <c r="E66">
        <v>0.71025304902827602</v>
      </c>
      <c r="F66">
        <v>-4.1827600001965504</v>
      </c>
      <c r="G66">
        <v>2.5851103005190699</v>
      </c>
      <c r="H66">
        <v>3.2283480249911699E-2</v>
      </c>
      <c r="I66">
        <v>7.0030318695962407E-2</v>
      </c>
      <c r="J66">
        <v>-4.7935445292394396</v>
      </c>
      <c r="K66" t="s">
        <v>191</v>
      </c>
    </row>
    <row r="67" spans="1:11" ht="14.4" hidden="1" x14ac:dyDescent="0.3">
      <c r="A67">
        <v>66</v>
      </c>
      <c r="B67" t="s">
        <v>129</v>
      </c>
      <c r="C67"/>
      <c r="E67">
        <v>-0.27957282525752902</v>
      </c>
      <c r="F67">
        <v>-1.1263793986006401</v>
      </c>
      <c r="G67">
        <v>-2.5473298947124801</v>
      </c>
      <c r="H67">
        <v>3.4240422220734999E-2</v>
      </c>
      <c r="I67">
        <v>7.2670490627571999E-2</v>
      </c>
      <c r="J67">
        <v>-4.8531106378549103</v>
      </c>
      <c r="K67" t="s">
        <v>191</v>
      </c>
    </row>
    <row r="68" spans="1:11" ht="14.4" hidden="1" x14ac:dyDescent="0.3">
      <c r="A68">
        <v>67</v>
      </c>
      <c r="B68" t="s">
        <v>53</v>
      </c>
      <c r="C68"/>
      <c r="E68">
        <v>-0.54886270546628202</v>
      </c>
      <c r="F68">
        <v>-2.5672334872502001</v>
      </c>
      <c r="G68">
        <v>-2.5341909411810999</v>
      </c>
      <c r="H68">
        <v>3.4948911063017001E-2</v>
      </c>
      <c r="I68">
        <v>7.2670490627571999E-2</v>
      </c>
      <c r="J68">
        <v>-4.8738058618570301</v>
      </c>
      <c r="K68" t="s">
        <v>191</v>
      </c>
    </row>
    <row r="69" spans="1:11" ht="14.4" hidden="1" x14ac:dyDescent="0.3">
      <c r="A69">
        <v>68</v>
      </c>
      <c r="B69" t="s">
        <v>76</v>
      </c>
      <c r="C69"/>
      <c r="E69">
        <v>-0.98434731219557203</v>
      </c>
      <c r="F69">
        <v>1.1856309810163299</v>
      </c>
      <c r="G69">
        <v>-2.5270715405680102</v>
      </c>
      <c r="H69">
        <v>3.53390094175981E-2</v>
      </c>
      <c r="I69">
        <v>7.2670490627571999E-2</v>
      </c>
      <c r="J69">
        <v>-4.8850149426919902</v>
      </c>
      <c r="K69" t="s">
        <v>191</v>
      </c>
    </row>
    <row r="70" spans="1:11" ht="14.4" hidden="1" x14ac:dyDescent="0.3">
      <c r="A70">
        <v>69</v>
      </c>
      <c r="B70" t="s">
        <v>136</v>
      </c>
      <c r="C70"/>
      <c r="E70">
        <v>-1.23220346148737</v>
      </c>
      <c r="F70">
        <v>-4.03629292913923</v>
      </c>
      <c r="G70">
        <v>-2.52303484958047</v>
      </c>
      <c r="H70">
        <v>3.5562154987960802E-2</v>
      </c>
      <c r="I70">
        <v>7.2670490627571999E-2</v>
      </c>
      <c r="J70">
        <v>-4.8913689548664401</v>
      </c>
      <c r="K70" t="s">
        <v>191</v>
      </c>
    </row>
    <row r="71" spans="1:11" ht="14.4" hidden="1" x14ac:dyDescent="0.3">
      <c r="A71">
        <v>70</v>
      </c>
      <c r="B71" t="s">
        <v>81</v>
      </c>
      <c r="C71"/>
      <c r="E71">
        <v>-0.43202076614488999</v>
      </c>
      <c r="F71">
        <v>-2.3563645767021399</v>
      </c>
      <c r="G71">
        <v>-2.4690962983107698</v>
      </c>
      <c r="H71">
        <v>3.8684599150038197E-2</v>
      </c>
      <c r="I71">
        <v>7.7921835430791203E-2</v>
      </c>
      <c r="J71">
        <v>-4.97615675036515</v>
      </c>
      <c r="K71" t="s">
        <v>191</v>
      </c>
    </row>
    <row r="72" spans="1:11" ht="14.4" hidden="1" x14ac:dyDescent="0.3">
      <c r="A72">
        <v>71</v>
      </c>
      <c r="B72" t="s">
        <v>88</v>
      </c>
      <c r="C72"/>
      <c r="E72">
        <v>0.76296967098649404</v>
      </c>
      <c r="F72">
        <v>-2.2521518540516698</v>
      </c>
      <c r="G72">
        <v>2.3780945070522499</v>
      </c>
      <c r="H72">
        <v>4.4593496196103102E-2</v>
      </c>
      <c r="I72">
        <v>8.8558914980993497E-2</v>
      </c>
      <c r="J72">
        <v>-5.1186278337828996</v>
      </c>
      <c r="K72" t="s">
        <v>191</v>
      </c>
    </row>
    <row r="73" spans="1:11" ht="14.4" hidden="1" x14ac:dyDescent="0.3">
      <c r="A73">
        <v>72</v>
      </c>
      <c r="B73" t="s">
        <v>139</v>
      </c>
      <c r="C73"/>
      <c r="E73">
        <v>0.27587604775309399</v>
      </c>
      <c r="F73">
        <v>-0.35893804455636102</v>
      </c>
      <c r="G73">
        <v>2.3190686609419102</v>
      </c>
      <c r="H73">
        <v>4.89029459367437E-2</v>
      </c>
      <c r="I73">
        <v>9.5768269126123004E-2</v>
      </c>
      <c r="J73">
        <v>-5.2105606360049004</v>
      </c>
      <c r="K73" t="s">
        <v>191</v>
      </c>
    </row>
    <row r="74" spans="1:11" ht="14.4" hidden="1" x14ac:dyDescent="0.3">
      <c r="A74">
        <v>73</v>
      </c>
      <c r="B74" t="s">
        <v>72</v>
      </c>
      <c r="C74"/>
      <c r="E74">
        <v>-0.27957282525752902</v>
      </c>
      <c r="F74">
        <v>0.164340323213305</v>
      </c>
      <c r="G74">
        <v>-2.2125921924855598</v>
      </c>
      <c r="H74">
        <v>5.7754198629964698E-2</v>
      </c>
      <c r="I74">
        <v>0.11155263023048</v>
      </c>
      <c r="J74">
        <v>-5.3752086452769596</v>
      </c>
      <c r="K74" t="s">
        <v>191</v>
      </c>
    </row>
    <row r="75" spans="1:11" ht="14.4" hidden="1" x14ac:dyDescent="0.3">
      <c r="A75">
        <v>74</v>
      </c>
      <c r="B75" t="s">
        <v>172</v>
      </c>
      <c r="C75"/>
      <c r="E75">
        <v>0.37651874255463202</v>
      </c>
      <c r="F75">
        <v>-1.54535931181379</v>
      </c>
      <c r="G75">
        <v>2.0964250455351099</v>
      </c>
      <c r="H75">
        <v>6.9224720050677799E-2</v>
      </c>
      <c r="I75">
        <v>0.13190115577223699</v>
      </c>
      <c r="J75">
        <v>-5.552678580057</v>
      </c>
      <c r="K75" t="s">
        <v>191</v>
      </c>
    </row>
    <row r="76" spans="1:11" ht="14.4" hidden="1" x14ac:dyDescent="0.3">
      <c r="A76">
        <v>75</v>
      </c>
      <c r="B76" t="s">
        <v>95</v>
      </c>
      <c r="C76"/>
      <c r="E76">
        <v>0.656168436600997</v>
      </c>
      <c r="F76">
        <v>-1.5124100489221199</v>
      </c>
      <c r="G76">
        <v>2.0669092040715098</v>
      </c>
      <c r="H76">
        <v>7.2478491742563905E-2</v>
      </c>
      <c r="I76">
        <v>0.13625956447602</v>
      </c>
      <c r="J76">
        <v>-5.5973444698623398</v>
      </c>
      <c r="K76" t="s">
        <v>191</v>
      </c>
    </row>
    <row r="77" spans="1:11" ht="14.4" hidden="1" x14ac:dyDescent="0.3">
      <c r="A77">
        <v>76</v>
      </c>
      <c r="B77" t="s">
        <v>50</v>
      </c>
      <c r="C77"/>
      <c r="E77">
        <v>-0.85465994456007199</v>
      </c>
      <c r="F77">
        <v>-1.7783276649067901</v>
      </c>
      <c r="G77">
        <v>-2.03985475795186</v>
      </c>
      <c r="H77">
        <v>7.5591635527924098E-2</v>
      </c>
      <c r="I77">
        <v>0.14024237643996401</v>
      </c>
      <c r="J77">
        <v>-5.6381169777831399</v>
      </c>
      <c r="K77" t="s">
        <v>191</v>
      </c>
    </row>
    <row r="78" spans="1:11" ht="14.4" hidden="1" x14ac:dyDescent="0.3">
      <c r="A78">
        <v>77</v>
      </c>
      <c r="B78" t="s">
        <v>97</v>
      </c>
      <c r="C78"/>
      <c r="E78">
        <v>-0.29426623764693999</v>
      </c>
      <c r="F78">
        <v>-3.3799452235424998</v>
      </c>
      <c r="G78">
        <v>-2.0126713910413101</v>
      </c>
      <c r="H78">
        <v>7.8850414176542497E-2</v>
      </c>
      <c r="I78">
        <v>0.14438842076483699</v>
      </c>
      <c r="J78">
        <v>-5.67891311511565</v>
      </c>
      <c r="K78" t="s">
        <v>191</v>
      </c>
    </row>
    <row r="79" spans="1:11" ht="14.4" hidden="1" x14ac:dyDescent="0.3">
      <c r="A79">
        <v>78</v>
      </c>
      <c r="B79" t="s">
        <v>34</v>
      </c>
      <c r="C79"/>
      <c r="E79">
        <v>-0.43458747435230899</v>
      </c>
      <c r="F79">
        <v>-0.86479582157369805</v>
      </c>
      <c r="G79">
        <v>-1.9694642971701599</v>
      </c>
      <c r="H79">
        <v>8.4312034015151305E-2</v>
      </c>
      <c r="I79">
        <v>0.151703739847693</v>
      </c>
      <c r="J79">
        <v>-5.7433849621761803</v>
      </c>
      <c r="K79" t="s">
        <v>191</v>
      </c>
    </row>
    <row r="80" spans="1:11" ht="14.4" hidden="1" x14ac:dyDescent="0.3">
      <c r="A80">
        <v>79</v>
      </c>
      <c r="B80" t="s">
        <v>17</v>
      </c>
      <c r="C80"/>
      <c r="E80">
        <v>-0.51535548894319905</v>
      </c>
      <c r="F80">
        <v>-0.22371874396606301</v>
      </c>
      <c r="G80">
        <v>-1.96423645669767</v>
      </c>
      <c r="H80">
        <v>8.49971308366506E-2</v>
      </c>
      <c r="I80">
        <v>0.151703739847693</v>
      </c>
      <c r="J80">
        <v>-5.7511534005385503</v>
      </c>
      <c r="K80" t="s">
        <v>191</v>
      </c>
    </row>
    <row r="81" spans="1:11" ht="14.4" hidden="1" x14ac:dyDescent="0.3">
      <c r="A81">
        <v>80</v>
      </c>
      <c r="B81" t="s">
        <v>146</v>
      </c>
      <c r="C81"/>
      <c r="E81">
        <v>0.30019396250531999</v>
      </c>
      <c r="F81">
        <v>-0.48920198338826698</v>
      </c>
      <c r="G81">
        <v>1.9212900610630901</v>
      </c>
      <c r="H81">
        <v>9.0831551472541794E-2</v>
      </c>
      <c r="I81">
        <v>0.160090609470355</v>
      </c>
      <c r="J81">
        <v>-5.8146930615063201</v>
      </c>
      <c r="K81" t="s">
        <v>191</v>
      </c>
    </row>
    <row r="82" spans="1:11" ht="14.4" hidden="1" x14ac:dyDescent="0.3">
      <c r="A82">
        <v>81</v>
      </c>
      <c r="B82" t="s">
        <v>46</v>
      </c>
      <c r="C82"/>
      <c r="E82">
        <v>-0.67263900534301202</v>
      </c>
      <c r="F82">
        <v>-2.1626883326583699</v>
      </c>
      <c r="G82">
        <v>-1.90790212815824</v>
      </c>
      <c r="H82">
        <v>9.2727622248260796E-2</v>
      </c>
      <c r="I82">
        <v>0.161414749839565</v>
      </c>
      <c r="J82">
        <v>-5.8343961025336002</v>
      </c>
      <c r="K82" t="s">
        <v>191</v>
      </c>
    </row>
    <row r="83" spans="1:11" ht="14.4" hidden="1" x14ac:dyDescent="0.3">
      <c r="A83">
        <v>82</v>
      </c>
      <c r="B83" t="s">
        <v>131</v>
      </c>
      <c r="C83"/>
      <c r="E83">
        <v>-0.53598311833161105</v>
      </c>
      <c r="F83">
        <v>0.39029016346143403</v>
      </c>
      <c r="G83">
        <v>-1.8726472588940799</v>
      </c>
      <c r="H83">
        <v>9.7903327191387196E-2</v>
      </c>
      <c r="I83">
        <v>0.168345965048605</v>
      </c>
      <c r="J83">
        <v>-5.8860314769022999</v>
      </c>
      <c r="K83" t="s">
        <v>191</v>
      </c>
    </row>
    <row r="84" spans="1:11" ht="14.4" hidden="1" x14ac:dyDescent="0.3">
      <c r="A84">
        <v>83</v>
      </c>
      <c r="B84" t="s">
        <v>33</v>
      </c>
      <c r="C84"/>
      <c r="E84">
        <v>-0.71034078019848301</v>
      </c>
      <c r="F84">
        <v>1.6216246839850399</v>
      </c>
      <c r="G84">
        <v>-1.8364359912195301</v>
      </c>
      <c r="H84">
        <v>0.103505237224122</v>
      </c>
      <c r="I84">
        <v>0.175834198175919</v>
      </c>
      <c r="J84">
        <v>-5.9386749910521601</v>
      </c>
      <c r="K84" t="s">
        <v>191</v>
      </c>
    </row>
    <row r="85" spans="1:11" ht="14.4" hidden="1" x14ac:dyDescent="0.3">
      <c r="A85">
        <v>84</v>
      </c>
      <c r="B85" t="s">
        <v>58</v>
      </c>
      <c r="C85"/>
      <c r="E85">
        <v>-0.80579465984084098</v>
      </c>
      <c r="F85">
        <v>-1.9580770166111601</v>
      </c>
      <c r="G85">
        <v>-1.7992847251345201</v>
      </c>
      <c r="H85">
        <v>0.10956742831938</v>
      </c>
      <c r="I85">
        <v>0.182193973066166</v>
      </c>
      <c r="J85">
        <v>-5.9922489267149599</v>
      </c>
      <c r="K85" t="s">
        <v>191</v>
      </c>
    </row>
    <row r="86" spans="1:11" ht="14.4" hidden="1" x14ac:dyDescent="0.3">
      <c r="A86">
        <v>85</v>
      </c>
      <c r="B86" t="s">
        <v>162</v>
      </c>
      <c r="C86"/>
      <c r="E86">
        <v>-0.41744779414115601</v>
      </c>
      <c r="F86">
        <v>-3.8029232453419399</v>
      </c>
      <c r="G86">
        <v>-1.7977004893156601</v>
      </c>
      <c r="H86">
        <v>0.10983324617463899</v>
      </c>
      <c r="I86">
        <v>0.182193973066166</v>
      </c>
      <c r="J86">
        <v>-5.9945232947331899</v>
      </c>
      <c r="K86" t="s">
        <v>191</v>
      </c>
    </row>
    <row r="87" spans="1:11" ht="14.4" hidden="1" x14ac:dyDescent="0.3">
      <c r="A87">
        <v>86</v>
      </c>
      <c r="B87" t="s">
        <v>22</v>
      </c>
      <c r="C87"/>
      <c r="E87">
        <v>-0.73456922866490104</v>
      </c>
      <c r="F87">
        <v>-0.52280314675305595</v>
      </c>
      <c r="G87">
        <v>-1.75075519396624</v>
      </c>
      <c r="H87">
        <v>0.11799099922541099</v>
      </c>
      <c r="I87">
        <v>0.19345035919515</v>
      </c>
      <c r="J87">
        <v>-6.0615258469835904</v>
      </c>
      <c r="K87" t="s">
        <v>191</v>
      </c>
    </row>
    <row r="88" spans="1:11" ht="14.4" hidden="1" x14ac:dyDescent="0.3">
      <c r="A88">
        <v>87</v>
      </c>
      <c r="B88" t="s">
        <v>84</v>
      </c>
      <c r="C88"/>
      <c r="E88">
        <v>-0.75329301997282005</v>
      </c>
      <c r="F88">
        <v>-1.79998192425576</v>
      </c>
      <c r="G88">
        <v>-1.74229570652247</v>
      </c>
      <c r="H88">
        <v>0.119520109081547</v>
      </c>
      <c r="I88">
        <v>0.19370500437354199</v>
      </c>
      <c r="J88">
        <v>-6.0735165806470297</v>
      </c>
      <c r="K88" t="s">
        <v>191</v>
      </c>
    </row>
    <row r="89" spans="1:11" ht="14.4" hidden="1" x14ac:dyDescent="0.3">
      <c r="A89">
        <v>88</v>
      </c>
      <c r="B89" t="s">
        <v>108</v>
      </c>
      <c r="C89"/>
      <c r="E89">
        <v>-0.28526986597367798</v>
      </c>
      <c r="F89">
        <v>-1.2575234682078</v>
      </c>
      <c r="G89">
        <v>-1.72632878317892</v>
      </c>
      <c r="H89">
        <v>0.12245679717602501</v>
      </c>
      <c r="I89">
        <v>0.19620918638431201</v>
      </c>
      <c r="J89">
        <v>-6.0960772208528002</v>
      </c>
      <c r="K89" t="s">
        <v>191</v>
      </c>
    </row>
    <row r="90" spans="1:11" ht="14.4" hidden="1" x14ac:dyDescent="0.3">
      <c r="A90">
        <v>89</v>
      </c>
      <c r="B90" t="s">
        <v>163</v>
      </c>
      <c r="C90"/>
      <c r="E90">
        <v>0.179735869591436</v>
      </c>
      <c r="F90">
        <v>-1.4511700548243101</v>
      </c>
      <c r="G90">
        <v>1.6873356092068099</v>
      </c>
      <c r="H90">
        <v>0.1299132155145</v>
      </c>
      <c r="I90">
        <v>0.20581756615218499</v>
      </c>
      <c r="J90">
        <v>-6.1507697723961297</v>
      </c>
      <c r="K90" t="s">
        <v>191</v>
      </c>
    </row>
    <row r="91" spans="1:11" ht="14.4" hidden="1" x14ac:dyDescent="0.3">
      <c r="A91">
        <v>90</v>
      </c>
      <c r="B91" t="s">
        <v>98</v>
      </c>
      <c r="C91"/>
      <c r="E91">
        <v>-0.77180317466359105</v>
      </c>
      <c r="F91">
        <v>-1.0654097144080801</v>
      </c>
      <c r="G91">
        <v>-1.6784348421125099</v>
      </c>
      <c r="H91">
        <v>0.13167326302478599</v>
      </c>
      <c r="I91">
        <v>0.20628811207216499</v>
      </c>
      <c r="J91">
        <v>-6.1631716758753496</v>
      </c>
      <c r="K91" t="s">
        <v>191</v>
      </c>
    </row>
    <row r="92" spans="1:11" ht="14.4" hidden="1" x14ac:dyDescent="0.3">
      <c r="A92">
        <v>91</v>
      </c>
      <c r="B92" t="s">
        <v>32</v>
      </c>
      <c r="C92"/>
      <c r="E92">
        <v>-0.78304196746965904</v>
      </c>
      <c r="F92">
        <v>1.2369653490247501</v>
      </c>
      <c r="G92">
        <v>-1.6482074847185699</v>
      </c>
      <c r="H92">
        <v>0.13781614518916199</v>
      </c>
      <c r="I92">
        <v>0.213539301886504</v>
      </c>
      <c r="J92">
        <v>-6.2050524413756802</v>
      </c>
      <c r="K92" t="s">
        <v>191</v>
      </c>
    </row>
    <row r="93" spans="1:11" ht="14.4" hidden="1" x14ac:dyDescent="0.3">
      <c r="A93">
        <v>92</v>
      </c>
      <c r="B93" t="s">
        <v>78</v>
      </c>
      <c r="C93"/>
      <c r="E93">
        <v>0.39097854929183601</v>
      </c>
      <c r="F93">
        <v>0.60557418955420295</v>
      </c>
      <c r="G93">
        <v>1.6087576780574</v>
      </c>
      <c r="H93">
        <v>0.146229509645005</v>
      </c>
      <c r="I93">
        <v>0.22235489810345599</v>
      </c>
      <c r="J93">
        <v>-6.2591429048065903</v>
      </c>
      <c r="K93" t="s">
        <v>191</v>
      </c>
    </row>
    <row r="94" spans="1:11" ht="14.4" hidden="1" x14ac:dyDescent="0.3">
      <c r="A94">
        <v>93</v>
      </c>
      <c r="B94" t="s">
        <v>64</v>
      </c>
      <c r="C94"/>
      <c r="E94">
        <v>-0.48064445503992298</v>
      </c>
      <c r="F94">
        <v>-1.4928522581953301</v>
      </c>
      <c r="G94">
        <v>-1.60679724273157</v>
      </c>
      <c r="H94">
        <v>0.14665961364270499</v>
      </c>
      <c r="I94">
        <v>0.22235489810345599</v>
      </c>
      <c r="J94">
        <v>-6.2618136167982597</v>
      </c>
      <c r="K94" t="s">
        <v>191</v>
      </c>
    </row>
    <row r="95" spans="1:11" ht="14.4" hidden="1" x14ac:dyDescent="0.3">
      <c r="A95">
        <v>94</v>
      </c>
      <c r="B95" t="s">
        <v>38</v>
      </c>
      <c r="C95"/>
      <c r="E95">
        <v>-0.79222158055644698</v>
      </c>
      <c r="F95">
        <v>0.14575293763251401</v>
      </c>
      <c r="G95">
        <v>-1.5505046345623299</v>
      </c>
      <c r="H95">
        <v>0.15951156525938401</v>
      </c>
      <c r="I95">
        <v>0.239267347889076</v>
      </c>
      <c r="J95">
        <v>-6.3377753284915004</v>
      </c>
      <c r="K95" t="s">
        <v>191</v>
      </c>
    </row>
    <row r="96" spans="1:11" ht="14.4" hidden="1" x14ac:dyDescent="0.3">
      <c r="A96">
        <v>95</v>
      </c>
      <c r="B96" t="s">
        <v>126</v>
      </c>
      <c r="C96"/>
      <c r="E96">
        <v>0.66456911526022799</v>
      </c>
      <c r="F96">
        <v>-2.8858341346995</v>
      </c>
      <c r="G96">
        <v>1.5093915824353801</v>
      </c>
      <c r="H96">
        <v>0.16953168824424</v>
      </c>
      <c r="I96">
        <v>0.25162071623618798</v>
      </c>
      <c r="J96">
        <v>-6.3923317873870298</v>
      </c>
      <c r="K96" t="s">
        <v>191</v>
      </c>
    </row>
    <row r="97" spans="1:11" ht="14.4" hidden="1" x14ac:dyDescent="0.3">
      <c r="A97">
        <v>96</v>
      </c>
      <c r="B97" t="s">
        <v>27</v>
      </c>
      <c r="C97"/>
      <c r="E97">
        <v>-0.44546905555326199</v>
      </c>
      <c r="F97">
        <v>-0.68126898839278704</v>
      </c>
      <c r="G97">
        <v>-1.48745823142728</v>
      </c>
      <c r="H97">
        <v>0.175104841107104</v>
      </c>
      <c r="I97">
        <v>0.25718523537605897</v>
      </c>
      <c r="J97">
        <v>-6.4211039591920702</v>
      </c>
      <c r="K97" t="s">
        <v>191</v>
      </c>
    </row>
    <row r="98" spans="1:11" ht="14.4" hidden="1" x14ac:dyDescent="0.3">
      <c r="A98">
        <v>97</v>
      </c>
      <c r="B98" t="s">
        <v>74</v>
      </c>
      <c r="C98"/>
      <c r="E98">
        <v>-0.27957282525752902</v>
      </c>
      <c r="F98">
        <v>-3.0854929004920302</v>
      </c>
      <c r="G98">
        <v>-1.4571685476712599</v>
      </c>
      <c r="H98">
        <v>0.183069317803184</v>
      </c>
      <c r="I98">
        <v>0.26578332719735498</v>
      </c>
      <c r="J98">
        <v>-6.4604435507907798</v>
      </c>
      <c r="K98" t="s">
        <v>191</v>
      </c>
    </row>
    <row r="99" spans="1:11" ht="14.4" hidden="1" x14ac:dyDescent="0.3">
      <c r="A99">
        <v>98</v>
      </c>
      <c r="B99" t="s">
        <v>23</v>
      </c>
      <c r="C99"/>
      <c r="E99">
        <v>-0.44228615874843102</v>
      </c>
      <c r="F99">
        <v>-0.27726123197753999</v>
      </c>
      <c r="G99">
        <v>-1.45100463140698</v>
      </c>
      <c r="H99">
        <v>0.18472883734284301</v>
      </c>
      <c r="I99">
        <v>0.26578332719735498</v>
      </c>
      <c r="J99">
        <v>-6.4683918853611999</v>
      </c>
      <c r="K99" t="s">
        <v>191</v>
      </c>
    </row>
    <row r="100" spans="1:11" ht="14.4" hidden="1" x14ac:dyDescent="0.3">
      <c r="A100">
        <v>99</v>
      </c>
      <c r="B100" t="s">
        <v>112</v>
      </c>
      <c r="C100"/>
      <c r="E100">
        <v>0.415625030121276</v>
      </c>
      <c r="F100">
        <v>-2.5252911956741499</v>
      </c>
      <c r="G100">
        <v>1.3916273340440399</v>
      </c>
      <c r="H100">
        <v>0.201405622842704</v>
      </c>
      <c r="I100">
        <v>0.28636976509283701</v>
      </c>
      <c r="J100">
        <v>-6.54393296415933</v>
      </c>
      <c r="K100" t="s">
        <v>191</v>
      </c>
    </row>
    <row r="101" spans="1:11" ht="14.4" hidden="1" x14ac:dyDescent="0.3">
      <c r="A101">
        <v>100</v>
      </c>
      <c r="B101" t="s">
        <v>30</v>
      </c>
      <c r="C101"/>
      <c r="E101">
        <v>0.67802691387189395</v>
      </c>
      <c r="F101">
        <v>-1.2982183414978501</v>
      </c>
      <c r="G101">
        <v>1.38584079268142</v>
      </c>
      <c r="H101">
        <v>0.203099124179317</v>
      </c>
      <c r="I101">
        <v>0.28636976509283701</v>
      </c>
      <c r="J101">
        <v>-6.5511928511303301</v>
      </c>
      <c r="K101" t="s">
        <v>191</v>
      </c>
    </row>
    <row r="102" spans="1:11" ht="14.4" hidden="1" x14ac:dyDescent="0.3">
      <c r="A102">
        <v>101</v>
      </c>
      <c r="B102" t="s">
        <v>122</v>
      </c>
      <c r="C102"/>
      <c r="E102">
        <v>0.26150952397818</v>
      </c>
      <c r="F102">
        <v>-4.8209705124168201</v>
      </c>
      <c r="G102">
        <v>1.2005694468231201</v>
      </c>
      <c r="H102">
        <v>0.26416472085170001</v>
      </c>
      <c r="I102">
        <v>0.36878441227811498</v>
      </c>
      <c r="J102">
        <v>-6.7732366569615703</v>
      </c>
      <c r="K102" t="s">
        <v>191</v>
      </c>
    </row>
    <row r="103" spans="1:11" ht="14.4" hidden="1" x14ac:dyDescent="0.3">
      <c r="A103">
        <v>102</v>
      </c>
      <c r="B103" t="s">
        <v>43</v>
      </c>
      <c r="C103"/>
      <c r="E103">
        <v>0.357576924256782</v>
      </c>
      <c r="F103">
        <v>-1.7333818341103799</v>
      </c>
      <c r="G103">
        <v>1.1866368523611199</v>
      </c>
      <c r="H103">
        <v>0.269319485801428</v>
      </c>
      <c r="I103">
        <v>0.37229458331373799</v>
      </c>
      <c r="J103">
        <v>-6.7890647556919301</v>
      </c>
      <c r="K103" t="s">
        <v>191</v>
      </c>
    </row>
    <row r="104" spans="1:11" ht="14.4" hidden="1" x14ac:dyDescent="0.3">
      <c r="A104">
        <v>103</v>
      </c>
      <c r="B104" t="s">
        <v>114</v>
      </c>
      <c r="C104"/>
      <c r="E104">
        <v>-0.469137850801922</v>
      </c>
      <c r="F104">
        <v>-0.31646213485048003</v>
      </c>
      <c r="G104">
        <v>-1.1268170978177701</v>
      </c>
      <c r="H104">
        <v>0.29239293438116698</v>
      </c>
      <c r="I104">
        <v>0.40026605580334501</v>
      </c>
      <c r="J104">
        <v>-6.8555303148542697</v>
      </c>
      <c r="K104" t="s">
        <v>191</v>
      </c>
    </row>
    <row r="105" spans="1:11" ht="14.4" hidden="1" x14ac:dyDescent="0.3">
      <c r="A105">
        <v>104</v>
      </c>
      <c r="B105" t="s">
        <v>54</v>
      </c>
      <c r="C105"/>
      <c r="E105">
        <v>0.23430583263899199</v>
      </c>
      <c r="F105">
        <v>-1.8933832695201001</v>
      </c>
      <c r="G105">
        <v>1.0686021652831099</v>
      </c>
      <c r="H105">
        <v>0.316344883009123</v>
      </c>
      <c r="I105">
        <v>0.42889065869506099</v>
      </c>
      <c r="J105">
        <v>-6.9178007513636901</v>
      </c>
      <c r="K105" t="s">
        <v>191</v>
      </c>
    </row>
    <row r="106" spans="1:11" ht="14.4" hidden="1" x14ac:dyDescent="0.3">
      <c r="A106">
        <v>105</v>
      </c>
      <c r="B106" t="s">
        <v>14</v>
      </c>
      <c r="C106"/>
      <c r="E106">
        <v>-0.75299581471990196</v>
      </c>
      <c r="F106">
        <v>-0.626219157751984</v>
      </c>
      <c r="G106">
        <v>-1.0318360654715699</v>
      </c>
      <c r="H106">
        <v>0.33224918734641501</v>
      </c>
      <c r="I106">
        <v>0.44616319443661401</v>
      </c>
      <c r="J106">
        <v>-6.9558504030953996</v>
      </c>
      <c r="K106" t="s">
        <v>191</v>
      </c>
    </row>
    <row r="107" spans="1:11" ht="14.4" hidden="1" x14ac:dyDescent="0.3">
      <c r="A107">
        <v>106</v>
      </c>
      <c r="B107" t="s">
        <v>44</v>
      </c>
      <c r="C107"/>
      <c r="E107">
        <v>-0.199270733572457</v>
      </c>
      <c r="F107">
        <v>-4.9479009537683298</v>
      </c>
      <c r="G107">
        <v>-0.999212080634855</v>
      </c>
      <c r="H107">
        <v>0.34687261947152098</v>
      </c>
      <c r="I107">
        <v>0.46140603156117499</v>
      </c>
      <c r="J107">
        <v>-6.9887574359054003</v>
      </c>
      <c r="K107" t="s">
        <v>191</v>
      </c>
    </row>
    <row r="108" spans="1:11" ht="14.4" hidden="1" x14ac:dyDescent="0.3">
      <c r="A108">
        <v>107</v>
      </c>
      <c r="B108" t="s">
        <v>82</v>
      </c>
      <c r="C108"/>
      <c r="E108">
        <v>-0.31282703805909801</v>
      </c>
      <c r="F108">
        <v>1.07012928317861</v>
      </c>
      <c r="G108">
        <v>-0.97864000461685996</v>
      </c>
      <c r="H108">
        <v>0.35634279906814897</v>
      </c>
      <c r="I108">
        <v>0.46957322120195399</v>
      </c>
      <c r="J108">
        <v>-7.0090849004249902</v>
      </c>
      <c r="K108" t="s">
        <v>191</v>
      </c>
    </row>
    <row r="109" spans="1:11" ht="14.4" hidden="1" x14ac:dyDescent="0.3">
      <c r="A109">
        <v>108</v>
      </c>
      <c r="B109" t="s">
        <v>39</v>
      </c>
      <c r="C109"/>
      <c r="E109">
        <v>-0.458953090512979</v>
      </c>
      <c r="F109">
        <v>-2.1958953998111999</v>
      </c>
      <c r="G109">
        <v>-0.90311698326454604</v>
      </c>
      <c r="H109">
        <v>0.39277255359560798</v>
      </c>
      <c r="I109">
        <v>0.51278638941648902</v>
      </c>
      <c r="J109">
        <v>-7.0808163894635303</v>
      </c>
      <c r="K109" t="s">
        <v>191</v>
      </c>
    </row>
    <row r="110" spans="1:11" ht="14.4" hidden="1" x14ac:dyDescent="0.3">
      <c r="A110">
        <v>109</v>
      </c>
      <c r="B110" t="s">
        <v>16</v>
      </c>
      <c r="C110"/>
      <c r="E110">
        <v>-0.99070446689427005</v>
      </c>
      <c r="F110">
        <v>4.0079242109320701</v>
      </c>
      <c r="G110">
        <v>-0.82861559424923303</v>
      </c>
      <c r="H110">
        <v>0.43128162103079998</v>
      </c>
      <c r="I110">
        <v>0.55233296195535797</v>
      </c>
      <c r="J110">
        <v>-7.1469452738056498</v>
      </c>
      <c r="K110" t="s">
        <v>191</v>
      </c>
    </row>
    <row r="111" spans="1:11" ht="14.4" hidden="1" x14ac:dyDescent="0.3">
      <c r="A111">
        <v>110</v>
      </c>
      <c r="B111" t="s">
        <v>124</v>
      </c>
      <c r="C111"/>
      <c r="E111">
        <v>0.183396094641427</v>
      </c>
      <c r="F111">
        <v>0.17971162542180399</v>
      </c>
      <c r="G111">
        <v>0.82725945104926402</v>
      </c>
      <c r="H111">
        <v>0.43200624279205302</v>
      </c>
      <c r="I111">
        <v>0.55233296195535797</v>
      </c>
      <c r="J111">
        <v>-7.1481049653340101</v>
      </c>
      <c r="K111" t="s">
        <v>191</v>
      </c>
    </row>
    <row r="112" spans="1:11" ht="14.4" hidden="1" x14ac:dyDescent="0.3">
      <c r="A112">
        <v>111</v>
      </c>
      <c r="B112" t="s">
        <v>35</v>
      </c>
      <c r="C112"/>
      <c r="E112">
        <v>-0.10450623499487501</v>
      </c>
      <c r="F112">
        <v>-1.59329110711746</v>
      </c>
      <c r="G112">
        <v>-0.82201706072654102</v>
      </c>
      <c r="H112">
        <v>0.43481531047549399</v>
      </c>
      <c r="I112">
        <v>0.55233296195535797</v>
      </c>
      <c r="J112">
        <v>-7.1525728790095604</v>
      </c>
      <c r="K112" t="s">
        <v>191</v>
      </c>
    </row>
    <row r="113" spans="1:11" ht="14.4" hidden="1" x14ac:dyDescent="0.3">
      <c r="A113">
        <v>112</v>
      </c>
      <c r="B113" t="s">
        <v>15</v>
      </c>
      <c r="C113"/>
      <c r="E113">
        <v>-0.29222106548281002</v>
      </c>
      <c r="F113">
        <v>0.34074705426577001</v>
      </c>
      <c r="G113">
        <v>-0.77611639604229798</v>
      </c>
      <c r="H113">
        <v>0.45994657868142802</v>
      </c>
      <c r="I113">
        <v>0.57903988923286898</v>
      </c>
      <c r="J113">
        <v>-7.1906596276453403</v>
      </c>
      <c r="K113" t="s">
        <v>191</v>
      </c>
    </row>
    <row r="114" spans="1:11" ht="14.4" hidden="1" x14ac:dyDescent="0.3">
      <c r="A114">
        <v>113</v>
      </c>
      <c r="B114" t="s">
        <v>150</v>
      </c>
      <c r="C114"/>
      <c r="E114">
        <v>0.146562809889624</v>
      </c>
      <c r="F114">
        <v>3.5925020835587702</v>
      </c>
      <c r="G114">
        <v>0.71515280187226504</v>
      </c>
      <c r="H114">
        <v>0.49479743197981801</v>
      </c>
      <c r="I114">
        <v>0.61740210539074603</v>
      </c>
      <c r="J114">
        <v>-7.2383159720545898</v>
      </c>
      <c r="K114" t="s">
        <v>191</v>
      </c>
    </row>
    <row r="115" spans="1:11" ht="14.4" hidden="1" x14ac:dyDescent="0.3">
      <c r="A115">
        <v>114</v>
      </c>
      <c r="B115" t="s">
        <v>99</v>
      </c>
      <c r="C115"/>
      <c r="E115">
        <v>-0.23559009928639699</v>
      </c>
      <c r="F115">
        <v>-1.2578051876498799</v>
      </c>
      <c r="G115">
        <v>-0.63886091450554305</v>
      </c>
      <c r="H115">
        <v>0.54071955768414703</v>
      </c>
      <c r="I115">
        <v>0.66878471608302403</v>
      </c>
      <c r="J115">
        <v>-7.2930876022593099</v>
      </c>
      <c r="K115" t="s">
        <v>191</v>
      </c>
    </row>
    <row r="116" spans="1:11" ht="14.4" hidden="1" x14ac:dyDescent="0.3">
      <c r="A116">
        <v>115</v>
      </c>
      <c r="B116" t="s">
        <v>80</v>
      </c>
      <c r="C116"/>
      <c r="E116">
        <v>7.9050168171055396E-2</v>
      </c>
      <c r="F116">
        <v>-2.17931441517434</v>
      </c>
      <c r="G116">
        <v>0.61989785427371402</v>
      </c>
      <c r="H116">
        <v>0.55252061112965001</v>
      </c>
      <c r="I116">
        <v>0.67743831451548397</v>
      </c>
      <c r="J116">
        <v>-7.3058395892380199</v>
      </c>
      <c r="K116" t="s">
        <v>191</v>
      </c>
    </row>
    <row r="117" spans="1:11" ht="14.4" hidden="1" x14ac:dyDescent="0.3">
      <c r="A117">
        <v>116</v>
      </c>
      <c r="B117" t="s">
        <v>130</v>
      </c>
      <c r="C117"/>
      <c r="E117">
        <v>7.8999931889072103E-2</v>
      </c>
      <c r="F117">
        <v>-2.5941367236003798</v>
      </c>
      <c r="G117">
        <v>0.55191525043523204</v>
      </c>
      <c r="H117">
        <v>0.59604153110526903</v>
      </c>
      <c r="I117">
        <v>0.71833163466104299</v>
      </c>
      <c r="J117">
        <v>-7.3486621740510802</v>
      </c>
      <c r="K117" t="s">
        <v>191</v>
      </c>
    </row>
    <row r="118" spans="1:11" ht="14.4" hidden="1" x14ac:dyDescent="0.3">
      <c r="A118">
        <v>117</v>
      </c>
      <c r="B118" t="s">
        <v>51</v>
      </c>
      <c r="C118"/>
      <c r="E118">
        <v>7.9080316788321794E-2</v>
      </c>
      <c r="F118">
        <v>-1.8575154505904801</v>
      </c>
      <c r="G118">
        <v>0.55188329916078704</v>
      </c>
      <c r="H118">
        <v>0.59606242025065304</v>
      </c>
      <c r="I118">
        <v>0.71833163466104299</v>
      </c>
      <c r="J118">
        <v>-7.3486812230004803</v>
      </c>
      <c r="K118" t="s">
        <v>191</v>
      </c>
    </row>
    <row r="119" spans="1:11" ht="14.4" hidden="1" x14ac:dyDescent="0.3">
      <c r="A119">
        <v>118</v>
      </c>
      <c r="B119" t="s">
        <v>63</v>
      </c>
      <c r="C119"/>
      <c r="E119">
        <v>-0.121379115440492</v>
      </c>
      <c r="F119">
        <v>-1.67248492799505</v>
      </c>
      <c r="G119">
        <v>-0.53837674172621197</v>
      </c>
      <c r="H119">
        <v>0.60492832336237001</v>
      </c>
      <c r="I119">
        <v>0.72134964542401903</v>
      </c>
      <c r="J119">
        <v>-7.3566419760277499</v>
      </c>
      <c r="K119" t="s">
        <v>191</v>
      </c>
    </row>
    <row r="120" spans="1:11" ht="14.4" hidden="1" x14ac:dyDescent="0.3">
      <c r="A120">
        <v>119</v>
      </c>
      <c r="B120" t="s">
        <v>68</v>
      </c>
      <c r="C120"/>
      <c r="E120">
        <v>7.8598554531059295E-2</v>
      </c>
      <c r="F120">
        <v>-4.17737888070487</v>
      </c>
      <c r="G120">
        <v>0.53251400863552301</v>
      </c>
      <c r="H120">
        <v>0.60879863691814395</v>
      </c>
      <c r="I120">
        <v>0.72134964542401903</v>
      </c>
      <c r="J120">
        <v>-7.3600403782857899</v>
      </c>
      <c r="K120" t="s">
        <v>191</v>
      </c>
    </row>
    <row r="121" spans="1:11" ht="14.4" hidden="1" x14ac:dyDescent="0.3">
      <c r="A121">
        <v>120</v>
      </c>
      <c r="B121" t="s">
        <v>10</v>
      </c>
      <c r="C121"/>
      <c r="E121">
        <v>-0.47936979203639202</v>
      </c>
      <c r="F121">
        <v>-3.2899995922576899</v>
      </c>
      <c r="G121">
        <v>-0.50115745471467699</v>
      </c>
      <c r="H121">
        <v>0.62971976368469695</v>
      </c>
      <c r="I121">
        <v>0.73539800893388496</v>
      </c>
      <c r="J121">
        <v>-7.3776259383380998</v>
      </c>
      <c r="K121" t="s">
        <v>191</v>
      </c>
    </row>
    <row r="122" spans="1:11" ht="14.4" hidden="1" x14ac:dyDescent="0.3">
      <c r="A122">
        <v>121</v>
      </c>
      <c r="B122" t="s">
        <v>20</v>
      </c>
      <c r="C122"/>
      <c r="E122">
        <v>0.18205625442368101</v>
      </c>
      <c r="F122">
        <v>2.72021077512807</v>
      </c>
      <c r="G122">
        <v>0.494170350469325</v>
      </c>
      <c r="H122">
        <v>0.63443135998628297</v>
      </c>
      <c r="I122">
        <v>0.73539800893388496</v>
      </c>
      <c r="J122">
        <v>-7.3814081312054904</v>
      </c>
      <c r="K122" t="s">
        <v>191</v>
      </c>
    </row>
    <row r="123" spans="1:11" ht="14.4" hidden="1" x14ac:dyDescent="0.3">
      <c r="A123">
        <v>122</v>
      </c>
      <c r="B123" t="s">
        <v>128</v>
      </c>
      <c r="C123"/>
      <c r="E123">
        <v>-0.22928213773653</v>
      </c>
      <c r="F123">
        <v>1.0163662303242</v>
      </c>
      <c r="G123">
        <v>-0.49140383446103503</v>
      </c>
      <c r="H123">
        <v>0.636301823332865</v>
      </c>
      <c r="I123">
        <v>0.73539800893388496</v>
      </c>
      <c r="J123">
        <v>-7.38289187126085</v>
      </c>
      <c r="K123" t="s">
        <v>191</v>
      </c>
    </row>
    <row r="124" spans="1:11" ht="14.4" hidden="1" x14ac:dyDescent="0.3">
      <c r="A124">
        <v>123</v>
      </c>
      <c r="B124" t="s">
        <v>61</v>
      </c>
      <c r="C124"/>
      <c r="E124">
        <v>-0.150791657327317</v>
      </c>
      <c r="F124">
        <v>-3.2442013830665499</v>
      </c>
      <c r="G124">
        <v>-0.37604717451612701</v>
      </c>
      <c r="H124">
        <v>0.71663135873526396</v>
      </c>
      <c r="I124">
        <v>0.82150424050140003</v>
      </c>
      <c r="J124">
        <v>-7.4376874317553101</v>
      </c>
      <c r="K124" t="s">
        <v>191</v>
      </c>
    </row>
    <row r="125" spans="1:11" ht="14.4" hidden="1" x14ac:dyDescent="0.3">
      <c r="A125">
        <v>124</v>
      </c>
      <c r="B125" t="s">
        <v>70</v>
      </c>
      <c r="C125"/>
      <c r="E125">
        <v>-6.8395892097914607E-2</v>
      </c>
      <c r="F125">
        <v>-2.8827635200594002</v>
      </c>
      <c r="G125">
        <v>-0.34754440143994098</v>
      </c>
      <c r="H125">
        <v>0.73712438157853999</v>
      </c>
      <c r="I125">
        <v>0.83818175647237203</v>
      </c>
      <c r="J125">
        <v>-7.4490648847523504</v>
      </c>
      <c r="K125" t="s">
        <v>191</v>
      </c>
    </row>
    <row r="126" spans="1:11" ht="14.4" hidden="1" x14ac:dyDescent="0.3">
      <c r="A126">
        <v>125</v>
      </c>
      <c r="B126" t="s">
        <v>11</v>
      </c>
      <c r="C126"/>
      <c r="E126">
        <v>-0.12271764423404399</v>
      </c>
      <c r="F126">
        <v>2.08149120369744</v>
      </c>
      <c r="G126">
        <v>-0.295316574723894</v>
      </c>
      <c r="H126">
        <v>0.77525074032291796</v>
      </c>
      <c r="I126">
        <v>0.87448283508425195</v>
      </c>
      <c r="J126">
        <v>-7.4676486592953104</v>
      </c>
      <c r="K126" t="s">
        <v>191</v>
      </c>
    </row>
    <row r="127" spans="1:11" ht="14.4" hidden="1" x14ac:dyDescent="0.3">
      <c r="A127">
        <v>126</v>
      </c>
      <c r="B127" t="s">
        <v>36</v>
      </c>
      <c r="C127"/>
      <c r="E127">
        <v>0.124425109883454</v>
      </c>
      <c r="F127">
        <v>-2.8311406502555401</v>
      </c>
      <c r="G127">
        <v>0.28182506457322798</v>
      </c>
      <c r="H127">
        <v>0.78521090868189902</v>
      </c>
      <c r="I127">
        <v>0.87734972850340298</v>
      </c>
      <c r="J127">
        <v>-7.4719694891252404</v>
      </c>
      <c r="K127" t="s">
        <v>191</v>
      </c>
    </row>
    <row r="128" spans="1:11" ht="14.4" hidden="1" x14ac:dyDescent="0.3">
      <c r="A128">
        <v>127</v>
      </c>
      <c r="B128" t="s">
        <v>105</v>
      </c>
      <c r="C128"/>
      <c r="E128">
        <v>-0.27288303910228801</v>
      </c>
      <c r="F128">
        <v>1.1053433310419101</v>
      </c>
      <c r="G128">
        <v>-0.275038797783907</v>
      </c>
      <c r="H128">
        <v>0.79023698950306498</v>
      </c>
      <c r="I128">
        <v>0.87734972850340298</v>
      </c>
      <c r="J128">
        <v>-7.4740680181150596</v>
      </c>
      <c r="K128" t="s">
        <v>191</v>
      </c>
    </row>
    <row r="129" spans="1:11" ht="14.4" hidden="1" x14ac:dyDescent="0.3">
      <c r="A129">
        <v>128</v>
      </c>
      <c r="B129" t="s">
        <v>52</v>
      </c>
      <c r="C129"/>
      <c r="E129">
        <v>7.3386940094292794E-2</v>
      </c>
      <c r="F129">
        <v>-4.5197904417469701</v>
      </c>
      <c r="G129">
        <v>0.21310474118310799</v>
      </c>
      <c r="H129">
        <v>0.83656087927086598</v>
      </c>
      <c r="I129">
        <v>0.92152409357181297</v>
      </c>
      <c r="J129">
        <v>-7.4908919689897404</v>
      </c>
      <c r="K129" t="s">
        <v>191</v>
      </c>
    </row>
    <row r="130" spans="1:11" ht="14.4" hidden="1" x14ac:dyDescent="0.3">
      <c r="A130">
        <v>129</v>
      </c>
      <c r="B130" t="s">
        <v>19</v>
      </c>
      <c r="C130"/>
      <c r="E130">
        <v>9.5266302444548104E-2</v>
      </c>
      <c r="F130">
        <v>-2.9934262437351098</v>
      </c>
      <c r="G130">
        <v>0.19143135743957301</v>
      </c>
      <c r="H130">
        <v>0.85294385447276</v>
      </c>
      <c r="I130">
        <v>0.92679005833017003</v>
      </c>
      <c r="J130">
        <v>-7.4957828432918401</v>
      </c>
      <c r="K130" t="s">
        <v>191</v>
      </c>
    </row>
    <row r="131" spans="1:11" ht="14.4" hidden="1" x14ac:dyDescent="0.3">
      <c r="A131">
        <v>130</v>
      </c>
      <c r="B131" t="s">
        <v>57</v>
      </c>
      <c r="C131"/>
      <c r="E131">
        <v>7.3454384039155607E-2</v>
      </c>
      <c r="F131">
        <v>-4.0483743344320899</v>
      </c>
      <c r="G131">
        <v>0.18939487110226699</v>
      </c>
      <c r="H131">
        <v>0.854487287822143</v>
      </c>
      <c r="I131">
        <v>0.92679005833017003</v>
      </c>
      <c r="J131">
        <v>-7.4962157243930996</v>
      </c>
      <c r="K131" t="s">
        <v>191</v>
      </c>
    </row>
    <row r="132" spans="1:11" ht="14.4" hidden="1" x14ac:dyDescent="0.3">
      <c r="A132">
        <v>131</v>
      </c>
      <c r="B132" t="s">
        <v>148</v>
      </c>
      <c r="C132"/>
      <c r="E132">
        <v>-5.8921844492526097E-2</v>
      </c>
      <c r="F132">
        <v>-1.3226425635499099</v>
      </c>
      <c r="G132">
        <v>-0.179345728215179</v>
      </c>
      <c r="H132">
        <v>0.86211306658328402</v>
      </c>
      <c r="I132">
        <v>0.927923224337733</v>
      </c>
      <c r="J132">
        <v>-7.4982845856710298</v>
      </c>
      <c r="K132" t="s">
        <v>191</v>
      </c>
    </row>
    <row r="133" spans="1:11" ht="14.4" hidden="1" x14ac:dyDescent="0.3">
      <c r="A133">
        <v>132</v>
      </c>
      <c r="B133" t="s">
        <v>92</v>
      </c>
      <c r="C133"/>
      <c r="E133">
        <v>2.7484977167083501E-2</v>
      </c>
      <c r="F133">
        <v>-2.3570199966757901</v>
      </c>
      <c r="G133">
        <v>0.14933310385710299</v>
      </c>
      <c r="H133">
        <v>0.884976575141181</v>
      </c>
      <c r="I133">
        <v>0.94531588708262504</v>
      </c>
      <c r="J133">
        <v>-7.5037967748654104</v>
      </c>
      <c r="K133" t="s">
        <v>191</v>
      </c>
    </row>
    <row r="134" spans="1:11" ht="14.4" hidden="1" x14ac:dyDescent="0.3">
      <c r="A134">
        <v>133</v>
      </c>
      <c r="B134" t="s">
        <v>18</v>
      </c>
      <c r="C134"/>
      <c r="E134">
        <v>-6.2235307674639299E-2</v>
      </c>
      <c r="F134">
        <v>-0.95561276258963002</v>
      </c>
      <c r="G134">
        <v>-0.12770063983479901</v>
      </c>
      <c r="H134">
        <v>0.90152884797000798</v>
      </c>
      <c r="I134">
        <v>0.95435801466196102</v>
      </c>
      <c r="J134">
        <v>-7.5071488693444</v>
      </c>
      <c r="K134" t="s">
        <v>191</v>
      </c>
    </row>
    <row r="135" spans="1:11" ht="14.4" hidden="1" x14ac:dyDescent="0.3">
      <c r="A135">
        <v>134</v>
      </c>
      <c r="B135" t="s">
        <v>90</v>
      </c>
      <c r="C135"/>
      <c r="E135">
        <v>2.12838183889099E-2</v>
      </c>
      <c r="F135">
        <v>-0.138357690230407</v>
      </c>
      <c r="G135">
        <v>0.120593543792192</v>
      </c>
      <c r="H135">
        <v>0.90697853875675705</v>
      </c>
      <c r="I135">
        <v>0.95435801466196102</v>
      </c>
      <c r="J135">
        <v>-7.50813639055258</v>
      </c>
      <c r="K135" t="s">
        <v>191</v>
      </c>
    </row>
    <row r="136" spans="1:11" ht="14.4" hidden="1" x14ac:dyDescent="0.3">
      <c r="A136">
        <v>135</v>
      </c>
      <c r="B136" t="s">
        <v>132</v>
      </c>
      <c r="C136"/>
      <c r="E136">
        <v>3.4628803953233402E-2</v>
      </c>
      <c r="F136">
        <v>1.59811752305553</v>
      </c>
      <c r="G136">
        <v>9.6696498739342995E-2</v>
      </c>
      <c r="H136">
        <v>0.92533940998305797</v>
      </c>
      <c r="I136">
        <v>0.95826747105820598</v>
      </c>
      <c r="J136">
        <v>-7.5110434926094003</v>
      </c>
      <c r="K136" t="s">
        <v>191</v>
      </c>
    </row>
    <row r="137" spans="1:11" ht="14.4" hidden="1" x14ac:dyDescent="0.3">
      <c r="A137">
        <v>136</v>
      </c>
      <c r="B137" t="s">
        <v>127</v>
      </c>
      <c r="C137"/>
      <c r="E137">
        <v>-2.79711213088484E-2</v>
      </c>
      <c r="F137">
        <v>-0.88276612642309005</v>
      </c>
      <c r="G137">
        <v>-9.2548743544127607E-2</v>
      </c>
      <c r="H137">
        <v>0.928531450931531</v>
      </c>
      <c r="I137">
        <v>0.95826747105820598</v>
      </c>
      <c r="J137">
        <v>-7.5114831115290297</v>
      </c>
      <c r="K137" t="s">
        <v>191</v>
      </c>
    </row>
    <row r="138" spans="1:11" ht="14.4" hidden="1" x14ac:dyDescent="0.3">
      <c r="A138">
        <v>137</v>
      </c>
      <c r="B138" t="s">
        <v>60</v>
      </c>
      <c r="C138"/>
      <c r="E138">
        <v>-3.9785250039432701E-2</v>
      </c>
      <c r="F138">
        <v>-1.4168592030798901</v>
      </c>
      <c r="G138">
        <v>-8.9235084400129394E-2</v>
      </c>
      <c r="H138">
        <v>0.93108257826222796</v>
      </c>
      <c r="I138">
        <v>0.95826747105820598</v>
      </c>
      <c r="J138">
        <v>-7.51182050679538</v>
      </c>
      <c r="K138" t="s">
        <v>191</v>
      </c>
    </row>
    <row r="139" spans="1:11" ht="14.4" hidden="1" x14ac:dyDescent="0.3">
      <c r="A139">
        <v>138</v>
      </c>
      <c r="B139" t="s">
        <v>93</v>
      </c>
      <c r="C139"/>
      <c r="E139">
        <v>-3.3716785739942197E-2</v>
      </c>
      <c r="F139">
        <v>-1.49617118370064</v>
      </c>
      <c r="G139">
        <v>-7.0798594407930293E-2</v>
      </c>
      <c r="H139">
        <v>0.94529111671542898</v>
      </c>
      <c r="I139">
        <v>0.96456236471721901</v>
      </c>
      <c r="J139">
        <v>-7.5134734650968804</v>
      </c>
      <c r="K139" t="s">
        <v>191</v>
      </c>
    </row>
    <row r="140" spans="1:11" ht="14.4" hidden="1" x14ac:dyDescent="0.3">
      <c r="A140">
        <v>139</v>
      </c>
      <c r="B140" t="s">
        <v>45</v>
      </c>
      <c r="C140"/>
      <c r="E140">
        <v>1.4102747754833099E-2</v>
      </c>
      <c r="F140">
        <v>6.9806534735488103E-3</v>
      </c>
      <c r="G140">
        <v>6.3553639330028305E-2</v>
      </c>
      <c r="H140">
        <v>0.95088062904747095</v>
      </c>
      <c r="I140">
        <v>0.96456236471721901</v>
      </c>
      <c r="J140">
        <v>-7.5140189205560102</v>
      </c>
      <c r="K140" t="s">
        <v>191</v>
      </c>
    </row>
    <row r="141" spans="1:11" ht="14.4" hidden="1" x14ac:dyDescent="0.3">
      <c r="A141">
        <v>140</v>
      </c>
      <c r="B141" t="s">
        <v>21</v>
      </c>
      <c r="C141"/>
      <c r="E141">
        <v>1.8230341986184902E-2</v>
      </c>
      <c r="F141">
        <v>-2.5454592039159398</v>
      </c>
      <c r="G141">
        <v>3.1545569528651098E-2</v>
      </c>
      <c r="H141">
        <v>0.975605136344457</v>
      </c>
      <c r="I141">
        <v>0.98257374446120305</v>
      </c>
      <c r="J141">
        <v>-7.51572509763285</v>
      </c>
      <c r="K141" t="s">
        <v>191</v>
      </c>
    </row>
    <row r="142" spans="1:11" ht="14.4" hidden="1" x14ac:dyDescent="0.3">
      <c r="A142">
        <v>141</v>
      </c>
      <c r="B142" t="s">
        <v>75</v>
      </c>
      <c r="C142"/>
      <c r="E142">
        <v>-2.0852359984780502E-3</v>
      </c>
      <c r="F142">
        <v>-3.2338547227182599</v>
      </c>
      <c r="G142">
        <v>-1.34163508415364E-2</v>
      </c>
      <c r="H142">
        <v>0.98962326381704102</v>
      </c>
      <c r="I142">
        <v>0.98962326381704102</v>
      </c>
      <c r="J142">
        <v>-7.51618209782671</v>
      </c>
      <c r="K142" t="s">
        <v>191</v>
      </c>
    </row>
  </sheetData>
  <autoFilter ref="A1:K142" xr:uid="{8AF70E47-1958-43FF-AEC8-9F259C3E8A30}">
    <filterColumn colId="10">
      <filters>
        <filter val="Down en Geriatrico"/>
        <filter val="Up en Geriatrico"/>
      </filters>
    </filterColumn>
    <sortState xmlns:xlrd2="http://schemas.microsoft.com/office/spreadsheetml/2017/richdata2" ref="A2:K56">
      <sortCondition ref="K1:K14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7B79-35EB-4CCF-99FB-5B514FDF562C}">
  <sheetPr filterMode="1">
    <tabColor theme="9"/>
  </sheetPr>
  <dimension ref="A1:K114"/>
  <sheetViews>
    <sheetView workbookViewId="0">
      <selection activeCell="H14" sqref="A1:K114"/>
    </sheetView>
  </sheetViews>
  <sheetFormatPr baseColWidth="10" defaultColWidth="11.44140625" defaultRowHeight="15" customHeight="1" x14ac:dyDescent="0.3"/>
  <cols>
    <col min="11" max="11" width="18" customWidth="1"/>
  </cols>
  <sheetData>
    <row r="1" spans="1:11" ht="14.4" x14ac:dyDescent="0.3">
      <c r="B1" s="3" t="s">
        <v>0</v>
      </c>
      <c r="C1" s="25" t="s">
        <v>181</v>
      </c>
      <c r="D1" s="3" t="s">
        <v>182</v>
      </c>
      <c r="E1" s="3" t="s">
        <v>183</v>
      </c>
      <c r="F1" s="3" t="s">
        <v>184</v>
      </c>
      <c r="G1" s="3" t="s">
        <v>185</v>
      </c>
      <c r="H1" s="3" t="s">
        <v>186</v>
      </c>
      <c r="I1" s="3" t="s">
        <v>187</v>
      </c>
      <c r="J1" s="3" t="s">
        <v>188</v>
      </c>
      <c r="K1" s="3" t="s">
        <v>189</v>
      </c>
    </row>
    <row r="2" spans="1:11" ht="14.4" x14ac:dyDescent="0.3">
      <c r="A2">
        <v>2</v>
      </c>
      <c r="B2" t="s">
        <v>166</v>
      </c>
      <c r="C2" s="24" t="str">
        <f>VLOOKUP(B2,'Uniprot-API'!$A$1:$D$165,2,)</f>
        <v>PGAM1</v>
      </c>
      <c r="D2" s="1" t="str">
        <f>VLOOKUP(B2,'BiomaRt Ensembl'!$A$1:$F$327,2,)</f>
        <v>PGAM1</v>
      </c>
      <c r="E2">
        <v>-2.1702637890765399</v>
      </c>
      <c r="F2">
        <v>1.9657046398029499E-2</v>
      </c>
      <c r="G2">
        <v>-22.621811879080301</v>
      </c>
      <c r="H2" s="4">
        <v>1.88359338543858E-7</v>
      </c>
      <c r="I2" s="4">
        <v>1.0642302627727999E-5</v>
      </c>
      <c r="J2">
        <v>8.2071928504398795</v>
      </c>
      <c r="K2" t="s">
        <v>193</v>
      </c>
    </row>
    <row r="3" spans="1:11" ht="14.4" x14ac:dyDescent="0.3">
      <c r="A3">
        <v>4</v>
      </c>
      <c r="B3" t="s">
        <v>104</v>
      </c>
      <c r="C3" s="24" t="str">
        <f>VLOOKUP(B3,'Uniprot-API'!$A$1:$D$165,2,)</f>
        <v>GALK1</v>
      </c>
      <c r="D3" s="1" t="str">
        <f>VLOOKUP(B3,'BiomaRt Ensembl'!$A$1:$F$327,2,)</f>
        <v>H3-3A</v>
      </c>
      <c r="E3">
        <v>-1.5955792809199101</v>
      </c>
      <c r="F3">
        <v>0.16186704972881999</v>
      </c>
      <c r="G3">
        <v>-16.535327587325501</v>
      </c>
      <c r="H3" s="4">
        <v>1.4144897285864199E-6</v>
      </c>
      <c r="I3" s="4">
        <v>3.9959334832566399E-5</v>
      </c>
      <c r="J3">
        <v>6.0726996911626099</v>
      </c>
      <c r="K3" t="s">
        <v>193</v>
      </c>
    </row>
    <row r="4" spans="1:11" ht="14.4" x14ac:dyDescent="0.3">
      <c r="A4">
        <v>6</v>
      </c>
      <c r="B4" t="s">
        <v>167</v>
      </c>
      <c r="C4" s="24" t="str">
        <f>VLOOKUP(B4,'Uniprot-API'!$A$1:$D$165,2,)</f>
        <v>PSMB3</v>
      </c>
      <c r="D4" s="1" t="str">
        <f>VLOOKUP(B4,'BiomaRt Ensembl'!$A$1:$F$327,2,)</f>
        <v>PSMB3</v>
      </c>
      <c r="E4">
        <v>-1.4327635384258901</v>
      </c>
      <c r="F4">
        <v>-0.61827702084588798</v>
      </c>
      <c r="G4">
        <v>-15.149037645442</v>
      </c>
      <c r="H4" s="4">
        <v>2.4743959217310402E-6</v>
      </c>
      <c r="I4" s="4">
        <v>4.6601123192601299E-5</v>
      </c>
      <c r="J4">
        <v>5.4650365649298296</v>
      </c>
      <c r="K4" t="s">
        <v>193</v>
      </c>
    </row>
    <row r="5" spans="1:11" ht="14.4" x14ac:dyDescent="0.3">
      <c r="A5">
        <v>8</v>
      </c>
      <c r="B5" t="s">
        <v>29</v>
      </c>
      <c r="C5" s="24" t="str">
        <f>VLOOKUP(B5,'Uniprot-API'!$A$1:$D$165,2,)</f>
        <v>APOA4</v>
      </c>
      <c r="D5" s="1" t="e">
        <f>VLOOKUP(B5,'BiomaRt Ensembl'!$A$1:$F$327,2,)</f>
        <v>#N/A</v>
      </c>
      <c r="E5">
        <v>-1.3058381951506699</v>
      </c>
      <c r="F5">
        <v>-1.67234582303826</v>
      </c>
      <c r="G5">
        <v>-13.5343304541043</v>
      </c>
      <c r="H5" s="4">
        <v>5.0644399509088804E-6</v>
      </c>
      <c r="I5" s="4">
        <v>6.7159919366067798E-5</v>
      </c>
      <c r="J5">
        <v>4.6797004533032203</v>
      </c>
      <c r="K5" t="s">
        <v>193</v>
      </c>
    </row>
    <row r="6" spans="1:11" ht="14.4" x14ac:dyDescent="0.3">
      <c r="A6">
        <v>9</v>
      </c>
      <c r="B6" t="s">
        <v>160</v>
      </c>
      <c r="C6" s="24" t="str">
        <f>VLOOKUP(B6,'Uniprot-API'!$A$1:$D$165,2,)</f>
        <v>TUBB</v>
      </c>
      <c r="D6" s="1" t="str">
        <f>VLOOKUP(B6,'BiomaRt Ensembl'!$A$1:$F$327,2,)</f>
        <v>TUBB</v>
      </c>
      <c r="E6">
        <v>-1.3024836410717999</v>
      </c>
      <c r="F6">
        <v>-1.9631444530573401</v>
      </c>
      <c r="G6">
        <v>-13.3379940647332</v>
      </c>
      <c r="H6" s="4">
        <v>5.5553977111995797E-6</v>
      </c>
      <c r="I6" s="4">
        <v>6.7159919366067798E-5</v>
      </c>
      <c r="J6">
        <v>4.5777528676510304</v>
      </c>
      <c r="K6" t="s">
        <v>193</v>
      </c>
    </row>
    <row r="7" spans="1:11" ht="14.4" x14ac:dyDescent="0.3">
      <c r="A7">
        <v>10</v>
      </c>
      <c r="B7" t="s">
        <v>109</v>
      </c>
      <c r="C7" s="24" t="str">
        <f>VLOOKUP(B7,'Uniprot-API'!$A$1:$D$165,2,)</f>
        <v>MPO</v>
      </c>
      <c r="D7" s="1" t="e">
        <f>VLOOKUP(B7,'BiomaRt Ensembl'!$A$1:$F$327,2,)</f>
        <v>#N/A</v>
      </c>
      <c r="E7">
        <v>-1.2122897018915</v>
      </c>
      <c r="F7">
        <v>-0.96691989128905498</v>
      </c>
      <c r="G7">
        <v>-13.1964428669065</v>
      </c>
      <c r="H7" s="4">
        <v>5.9433556961121996E-6</v>
      </c>
      <c r="I7" s="4">
        <v>6.7159919366067798E-5</v>
      </c>
      <c r="J7">
        <v>4.5033110925267401</v>
      </c>
      <c r="K7" t="s">
        <v>193</v>
      </c>
    </row>
    <row r="8" spans="1:11" ht="14.4" x14ac:dyDescent="0.3">
      <c r="A8">
        <v>12</v>
      </c>
      <c r="B8" t="s">
        <v>118</v>
      </c>
      <c r="C8" s="24" t="str">
        <f>VLOOKUP(B8,'Uniprot-API'!$A$1:$D$165,2,)</f>
        <v>PSMB1</v>
      </c>
      <c r="D8" s="1" t="str">
        <f>VLOOKUP(B8,'BiomaRt Ensembl'!$A$1:$F$327,2,)</f>
        <v>PSMB1</v>
      </c>
      <c r="E8">
        <v>-1.8802330693026299</v>
      </c>
      <c r="F8">
        <v>-0.29355744653606403</v>
      </c>
      <c r="G8">
        <v>-11.559922578206701</v>
      </c>
      <c r="H8" s="4">
        <v>1.3678924080752001E-5</v>
      </c>
      <c r="I8">
        <v>1.28809868427081E-4</v>
      </c>
      <c r="J8">
        <v>3.5800768915175301</v>
      </c>
      <c r="K8" t="s">
        <v>193</v>
      </c>
    </row>
    <row r="9" spans="1:11" ht="14.4" x14ac:dyDescent="0.3">
      <c r="A9">
        <v>15</v>
      </c>
      <c r="B9" t="s">
        <v>100</v>
      </c>
      <c r="C9" s="24" t="str">
        <f>VLOOKUP(B9,'Uniprot-API'!$A$1:$D$165,2,)</f>
        <v>FN1</v>
      </c>
      <c r="D9" s="1" t="str">
        <f>VLOOKUP(B9,'BiomaRt Ensembl'!$A$1:$F$327,2,)</f>
        <v>FN1</v>
      </c>
      <c r="E9">
        <v>-1.1497204486269199</v>
      </c>
      <c r="F9">
        <v>-3.6119756778716701</v>
      </c>
      <c r="G9">
        <v>-10.943081465723999</v>
      </c>
      <c r="H9" s="4">
        <v>1.9270488786738901E-5</v>
      </c>
      <c r="I9">
        <v>1.45171015526766E-4</v>
      </c>
      <c r="J9">
        <v>3.1986880086110498</v>
      </c>
      <c r="K9" t="s">
        <v>193</v>
      </c>
    </row>
    <row r="10" spans="1:11" ht="14.4" x14ac:dyDescent="0.3">
      <c r="A10">
        <v>18</v>
      </c>
      <c r="B10" t="s">
        <v>162</v>
      </c>
      <c r="C10" s="24" t="str">
        <f>VLOOKUP(B10,'Uniprot-API'!$A$1:$D$165,2,)</f>
        <v>ACAN</v>
      </c>
      <c r="D10" s="1" t="str">
        <f>VLOOKUP(B10,'BiomaRt Ensembl'!$A$1:$F$327,2,)</f>
        <v>ACAN</v>
      </c>
      <c r="E10">
        <v>-1.0344250000397901</v>
      </c>
      <c r="F10">
        <v>-3.6715142465345698</v>
      </c>
      <c r="G10">
        <v>-8.9282631567916706</v>
      </c>
      <c r="H10" s="4">
        <v>6.7623624497707398E-5</v>
      </c>
      <c r="I10">
        <v>4.11963611744771E-4</v>
      </c>
      <c r="J10">
        <v>1.7955123697224999</v>
      </c>
      <c r="K10" t="s">
        <v>193</v>
      </c>
    </row>
    <row r="11" spans="1:11" ht="14.4" x14ac:dyDescent="0.3">
      <c r="A11">
        <v>25</v>
      </c>
      <c r="B11" t="s">
        <v>136</v>
      </c>
      <c r="C11" s="24" t="str">
        <f>VLOOKUP(B11,'Uniprot-API'!$A$1:$D$165,2,)</f>
        <v>COL6A3</v>
      </c>
      <c r="D11" s="1" t="str">
        <f>VLOOKUP(B11,'BiomaRt Ensembl'!$A$1:$F$327,2,)</f>
        <v>COL6A3</v>
      </c>
      <c r="E11">
        <v>-1.9808206561000501</v>
      </c>
      <c r="F11">
        <v>-3.86271022466389</v>
      </c>
      <c r="G11">
        <v>-7.2630381685046501</v>
      </c>
      <c r="H11">
        <v>2.3341834755337499E-4</v>
      </c>
      <c r="I11">
        <v>1.0415827149055101E-3</v>
      </c>
      <c r="J11">
        <v>0.406001431184912</v>
      </c>
      <c r="K11" t="s">
        <v>193</v>
      </c>
    </row>
    <row r="12" spans="1:11" ht="14.4" x14ac:dyDescent="0.3">
      <c r="A12">
        <v>28</v>
      </c>
      <c r="B12" t="s">
        <v>103</v>
      </c>
      <c r="C12" s="24" t="str">
        <f>VLOOKUP(B12,'Uniprot-API'!$A$1:$D$165,2,)</f>
        <v>H2BC26</v>
      </c>
      <c r="D12" s="1" t="e">
        <f>VLOOKUP(B12,'BiomaRt Ensembl'!$A$1:$F$327,2,)</f>
        <v>#N/A</v>
      </c>
      <c r="E12">
        <v>-1.21174814916073</v>
      </c>
      <c r="F12">
        <v>0.63066373746008897</v>
      </c>
      <c r="G12">
        <v>-6.5335918140611504</v>
      </c>
      <c r="H12">
        <v>4.3274947789042598E-4</v>
      </c>
      <c r="I12">
        <v>1.74645325005779E-3</v>
      </c>
      <c r="J12">
        <v>-0.28630949508296299</v>
      </c>
      <c r="K12" t="s">
        <v>193</v>
      </c>
    </row>
    <row r="13" spans="1:11" ht="14.4" x14ac:dyDescent="0.3">
      <c r="A13">
        <v>35</v>
      </c>
      <c r="B13" t="s">
        <v>38</v>
      </c>
      <c r="C13" s="24" t="str">
        <f>VLOOKUP(B13,'Uniprot-API'!$A$1:$D$165,2,)</f>
        <v>PRDX2</v>
      </c>
      <c r="D13" s="1" t="str">
        <f>VLOOKUP(B13,'BiomaRt Ensembl'!$A$1:$F$327,2,)</f>
        <v>PRDX2</v>
      </c>
      <c r="E13">
        <v>-1.46534306777602</v>
      </c>
      <c r="F13">
        <v>0.75598195459444095</v>
      </c>
      <c r="G13">
        <v>-5.1982799861446702</v>
      </c>
      <c r="H13">
        <v>1.55500188141856E-3</v>
      </c>
      <c r="I13">
        <v>5.0204346457227902E-3</v>
      </c>
      <c r="J13">
        <v>-1.7162778422521201</v>
      </c>
      <c r="K13" t="s">
        <v>193</v>
      </c>
    </row>
    <row r="14" spans="1:11" ht="14.4" x14ac:dyDescent="0.3">
      <c r="A14">
        <v>41</v>
      </c>
      <c r="B14" t="s">
        <v>58</v>
      </c>
      <c r="C14" s="24" t="str">
        <f>VLOOKUP(B14,'Uniprot-API'!$A$1:$D$165,2,)</f>
        <v>LMNA</v>
      </c>
      <c r="D14" s="1" t="str">
        <f>VLOOKUP(B14,'BiomaRt Ensembl'!$A$1:$F$327,2,)</f>
        <v>LMNA</v>
      </c>
      <c r="E14">
        <v>-1.3612012309128101</v>
      </c>
      <c r="F14">
        <v>-1.6486188077116199</v>
      </c>
      <c r="G14">
        <v>-4.4383203550928902</v>
      </c>
      <c r="H14">
        <v>3.5658240998336301E-3</v>
      </c>
      <c r="I14">
        <v>9.8277591044195096E-3</v>
      </c>
      <c r="J14">
        <v>-2.6375485257987701</v>
      </c>
      <c r="K14" t="s">
        <v>193</v>
      </c>
    </row>
    <row r="15" spans="1:11" ht="14.4" x14ac:dyDescent="0.3">
      <c r="A15">
        <v>1</v>
      </c>
      <c r="B15" t="s">
        <v>157</v>
      </c>
      <c r="C15" s="24" t="str">
        <f>VLOOKUP(B15,'Uniprot-API'!$A$1:$D$165,2,)</f>
        <v>DHODH</v>
      </c>
      <c r="D15" s="1" t="str">
        <f>VLOOKUP(B15,'BiomaRt Ensembl'!$A$1:$F$327,2,)</f>
        <v>DHODH</v>
      </c>
      <c r="E15">
        <v>2.4298971599220902</v>
      </c>
      <c r="F15">
        <v>0.77832967807405296</v>
      </c>
      <c r="G15">
        <v>24.2956015513561</v>
      </c>
      <c r="H15" s="4">
        <v>1.18726996305899E-7</v>
      </c>
      <c r="I15" s="4">
        <v>1.0642302627727999E-5</v>
      </c>
      <c r="J15">
        <v>8.6794556238226708</v>
      </c>
      <c r="K15" t="s">
        <v>194</v>
      </c>
    </row>
    <row r="16" spans="1:11" ht="14.4" x14ac:dyDescent="0.3">
      <c r="A16">
        <v>3</v>
      </c>
      <c r="B16" t="s">
        <v>156</v>
      </c>
      <c r="C16" s="24" t="str">
        <f>VLOOKUP(B16,'Uniprot-API'!$A$1:$D$165,2,)</f>
        <v>MAP4</v>
      </c>
      <c r="D16" s="1" t="str">
        <f>VLOOKUP(B16,'BiomaRt Ensembl'!$A$1:$F$327,2,)</f>
        <v>MAP4</v>
      </c>
      <c r="E16">
        <v>1.84637797242887</v>
      </c>
      <c r="F16">
        <v>-3.4824814465190701</v>
      </c>
      <c r="G16">
        <v>17.677155611113498</v>
      </c>
      <c r="H16" s="4">
        <v>9.2213000783063697E-7</v>
      </c>
      <c r="I16" s="4">
        <v>3.47335636282873E-5</v>
      </c>
      <c r="J16">
        <v>6.5337048001363396</v>
      </c>
      <c r="K16" t="s">
        <v>194</v>
      </c>
    </row>
    <row r="17" spans="1:11" ht="14.4" hidden="1" x14ac:dyDescent="0.3">
      <c r="A17">
        <v>16</v>
      </c>
      <c r="B17" t="s">
        <v>119</v>
      </c>
      <c r="E17">
        <v>0.95302977040643699</v>
      </c>
      <c r="F17">
        <v>-1.6739191079382101</v>
      </c>
      <c r="G17">
        <v>9.8770508481370101</v>
      </c>
      <c r="H17" s="4">
        <v>3.6394764667855E-5</v>
      </c>
      <c r="I17">
        <v>2.5703802546672602E-4</v>
      </c>
      <c r="J17">
        <v>2.48897392977138</v>
      </c>
      <c r="K17" t="s">
        <v>191</v>
      </c>
    </row>
    <row r="18" spans="1:11" ht="14.4" hidden="1" x14ac:dyDescent="0.3">
      <c r="A18">
        <v>17</v>
      </c>
      <c r="B18" t="s">
        <v>152</v>
      </c>
      <c r="E18">
        <v>0.94806516953499897</v>
      </c>
      <c r="F18">
        <v>-2.1910202341968099</v>
      </c>
      <c r="G18">
        <v>9.6125593495595094</v>
      </c>
      <c r="H18" s="4">
        <v>4.3020250004915598E-5</v>
      </c>
      <c r="I18">
        <v>2.8595813238561501E-4</v>
      </c>
      <c r="J18">
        <v>2.3019285090974901</v>
      </c>
      <c r="K18" t="s">
        <v>191</v>
      </c>
    </row>
    <row r="19" spans="1:11" ht="14.4" x14ac:dyDescent="0.3">
      <c r="A19">
        <v>5</v>
      </c>
      <c r="B19" t="s">
        <v>138</v>
      </c>
      <c r="C19" s="24" t="str">
        <f>VLOOKUP(B19,'Uniprot-API'!$A$1:$D$165,2,)</f>
        <v>ITIH4</v>
      </c>
      <c r="D19" s="1" t="e">
        <f>VLOOKUP(B19,'BiomaRt Ensembl'!$A$1:$F$327,2,)</f>
        <v>#N/A</v>
      </c>
      <c r="E19">
        <v>1.60269829846779</v>
      </c>
      <c r="F19">
        <v>-2.62352696854304</v>
      </c>
      <c r="G19">
        <v>15.9438413934559</v>
      </c>
      <c r="H19" s="4">
        <v>1.7854618337084999E-6</v>
      </c>
      <c r="I19" s="4">
        <v>4.0351437441812198E-5</v>
      </c>
      <c r="J19">
        <v>5.8202725177495704</v>
      </c>
      <c r="K19" t="s">
        <v>194</v>
      </c>
    </row>
    <row r="20" spans="1:11" ht="14.4" hidden="1" x14ac:dyDescent="0.3">
      <c r="A20">
        <v>19</v>
      </c>
      <c r="B20" t="s">
        <v>116</v>
      </c>
      <c r="E20">
        <v>-0.84265800492277299</v>
      </c>
      <c r="F20">
        <v>-1.0451667657172099</v>
      </c>
      <c r="G20">
        <v>-8.8931292571428493</v>
      </c>
      <c r="H20" s="4">
        <v>6.9268217903988E-5</v>
      </c>
      <c r="I20">
        <v>4.11963611744771E-4</v>
      </c>
      <c r="J20">
        <v>1.7685877363929301</v>
      </c>
      <c r="K20" t="s">
        <v>191</v>
      </c>
    </row>
    <row r="21" spans="1:11" ht="14.4" hidden="1" x14ac:dyDescent="0.3">
      <c r="A21">
        <v>20</v>
      </c>
      <c r="B21" t="s">
        <v>164</v>
      </c>
      <c r="E21">
        <v>-0.83657534570860204</v>
      </c>
      <c r="F21">
        <v>-1.8093566344666101</v>
      </c>
      <c r="G21">
        <v>-8.6229783512839493</v>
      </c>
      <c r="H21" s="4">
        <v>8.3557752173676506E-5</v>
      </c>
      <c r="I21">
        <v>4.7210129978127202E-4</v>
      </c>
      <c r="J21">
        <v>1.5583769371238101</v>
      </c>
      <c r="K21" t="s">
        <v>191</v>
      </c>
    </row>
    <row r="22" spans="1:11" ht="14.4" hidden="1" x14ac:dyDescent="0.3">
      <c r="A22">
        <v>21</v>
      </c>
      <c r="B22" t="s">
        <v>142</v>
      </c>
      <c r="E22">
        <v>-0.82872270327231101</v>
      </c>
      <c r="F22">
        <v>-2.01426186897194</v>
      </c>
      <c r="G22">
        <v>-8.4676852291270706</v>
      </c>
      <c r="H22" s="4">
        <v>9.3283924571377705E-5</v>
      </c>
      <c r="I22">
        <v>5.0195635602693701E-4</v>
      </c>
      <c r="J22">
        <v>1.4349234826020101</v>
      </c>
      <c r="K22" t="s">
        <v>191</v>
      </c>
    </row>
    <row r="23" spans="1:11" ht="14.4" hidden="1" x14ac:dyDescent="0.3">
      <c r="A23">
        <v>22</v>
      </c>
      <c r="B23" t="s">
        <v>161</v>
      </c>
      <c r="E23">
        <v>-0.81344357457538896</v>
      </c>
      <c r="F23">
        <v>-2.7572950831850198</v>
      </c>
      <c r="G23">
        <v>-8.0444971784016399</v>
      </c>
      <c r="H23">
        <v>1.2706145785080101E-4</v>
      </c>
      <c r="I23">
        <v>6.52633851688205E-4</v>
      </c>
      <c r="J23">
        <v>1.0883300116038199</v>
      </c>
      <c r="K23" t="s">
        <v>191</v>
      </c>
    </row>
    <row r="24" spans="1:11" ht="14.4" hidden="1" x14ac:dyDescent="0.3">
      <c r="A24">
        <v>23</v>
      </c>
      <c r="B24" t="s">
        <v>78</v>
      </c>
      <c r="E24">
        <v>0.74314730576668198</v>
      </c>
      <c r="F24">
        <v>0.61155534444314896</v>
      </c>
      <c r="G24">
        <v>7.5154996578888396</v>
      </c>
      <c r="H24">
        <v>1.9070194320983E-4</v>
      </c>
      <c r="I24">
        <v>9.3692693837872795E-4</v>
      </c>
      <c r="J24">
        <v>0.63277449652013995</v>
      </c>
      <c r="K24" t="s">
        <v>191</v>
      </c>
    </row>
    <row r="25" spans="1:11" ht="14.4" hidden="1" x14ac:dyDescent="0.3">
      <c r="A25">
        <v>24</v>
      </c>
      <c r="B25" t="s">
        <v>92</v>
      </c>
      <c r="E25">
        <v>-0.73561665223516304</v>
      </c>
      <c r="F25">
        <v>-2.2060874482730402</v>
      </c>
      <c r="G25">
        <v>-7.4535954899090999</v>
      </c>
      <c r="H25">
        <v>2.0028769644155799E-4</v>
      </c>
      <c r="I25">
        <v>9.4302123741233799E-4</v>
      </c>
      <c r="J25">
        <v>0.57774815409501901</v>
      </c>
      <c r="K25" t="s">
        <v>191</v>
      </c>
    </row>
    <row r="26" spans="1:11" ht="14.4" x14ac:dyDescent="0.3">
      <c r="A26">
        <v>7</v>
      </c>
      <c r="B26" t="s">
        <v>169</v>
      </c>
      <c r="C26" s="24" t="str">
        <f>VLOOKUP(B26,'Uniprot-API'!$A$1:$D$165,2,)</f>
        <v>CYCS</v>
      </c>
      <c r="D26" s="1" t="str">
        <f>VLOOKUP(B26,'BiomaRt Ensembl'!$A$1:$F$327,2,)</f>
        <v>CYCS</v>
      </c>
      <c r="E26">
        <v>1.4526829737119999</v>
      </c>
      <c r="F26">
        <v>0.96151452183424502</v>
      </c>
      <c r="G26">
        <v>14.3238293807778</v>
      </c>
      <c r="H26" s="4">
        <v>3.5342469597882702E-6</v>
      </c>
      <c r="I26" s="4">
        <v>5.7052843779439299E-5</v>
      </c>
      <c r="J26">
        <v>5.0750388011924503</v>
      </c>
      <c r="K26" t="s">
        <v>194</v>
      </c>
    </row>
    <row r="27" spans="1:11" ht="14.4" hidden="1" x14ac:dyDescent="0.3">
      <c r="A27">
        <v>26</v>
      </c>
      <c r="B27" t="s">
        <v>137</v>
      </c>
      <c r="E27">
        <v>0.826334081291904</v>
      </c>
      <c r="F27">
        <v>2.1010091874443599</v>
      </c>
      <c r="G27">
        <v>7.23060984141408</v>
      </c>
      <c r="H27">
        <v>2.3965619988976301E-4</v>
      </c>
      <c r="I27">
        <v>1.0415827149055101E-3</v>
      </c>
      <c r="J27">
        <v>0.37641343711944403</v>
      </c>
      <c r="K27" t="s">
        <v>191</v>
      </c>
    </row>
    <row r="28" spans="1:11" ht="14.4" hidden="1" x14ac:dyDescent="0.3">
      <c r="A28">
        <v>27</v>
      </c>
      <c r="B28" t="s">
        <v>56</v>
      </c>
      <c r="E28">
        <v>0.62659098068100505</v>
      </c>
      <c r="F28">
        <v>-0.205595916800765</v>
      </c>
      <c r="G28">
        <v>6.5789129501331001</v>
      </c>
      <c r="H28">
        <v>4.1582836452652803E-4</v>
      </c>
      <c r="I28">
        <v>1.7403187107962099E-3</v>
      </c>
      <c r="J28">
        <v>-0.241602277381785</v>
      </c>
      <c r="K28" t="s">
        <v>191</v>
      </c>
    </row>
    <row r="29" spans="1:11" ht="14.4" x14ac:dyDescent="0.3">
      <c r="A29">
        <v>11</v>
      </c>
      <c r="B29" t="s">
        <v>99</v>
      </c>
      <c r="C29" s="24" t="str">
        <f>VLOOKUP(B29,'Uniprot-API'!$A$1:$D$165,2,)</f>
        <v>YBX1</v>
      </c>
      <c r="D29" s="1" t="str">
        <f>VLOOKUP(B29,'BiomaRt Ensembl'!$A$1:$F$327,2,)</f>
        <v>YBX1</v>
      </c>
      <c r="E29">
        <v>1.1268944664029501</v>
      </c>
      <c r="F29">
        <v>-1.14179538047984</v>
      </c>
      <c r="G29">
        <v>11.6964035883195</v>
      </c>
      <c r="H29" s="4">
        <v>1.27088011575576E-5</v>
      </c>
      <c r="I29">
        <v>1.28809868427081E-4</v>
      </c>
      <c r="J29">
        <v>3.66181560426062</v>
      </c>
      <c r="K29" t="s">
        <v>194</v>
      </c>
    </row>
    <row r="30" spans="1:11" ht="14.4" hidden="1" x14ac:dyDescent="0.3">
      <c r="A30">
        <v>29</v>
      </c>
      <c r="B30" t="s">
        <v>13</v>
      </c>
      <c r="E30">
        <v>-0.81900117491475299</v>
      </c>
      <c r="F30">
        <v>-0.21158839888250899</v>
      </c>
      <c r="G30">
        <v>-6.1116465853711999</v>
      </c>
      <c r="H30">
        <v>6.3395824391090103E-4</v>
      </c>
      <c r="I30">
        <v>2.4702510883424802E-3</v>
      </c>
      <c r="J30">
        <v>-0.71402147264752402</v>
      </c>
      <c r="K30" t="s">
        <v>191</v>
      </c>
    </row>
    <row r="31" spans="1:11" ht="14.4" hidden="1" x14ac:dyDescent="0.3">
      <c r="A31">
        <v>30</v>
      </c>
      <c r="B31" t="s">
        <v>171</v>
      </c>
      <c r="E31">
        <v>0.53174551184319396</v>
      </c>
      <c r="F31">
        <v>-0.98899511201812595</v>
      </c>
      <c r="G31">
        <v>5.6163576931444803</v>
      </c>
      <c r="H31">
        <v>1.0182472585034701E-3</v>
      </c>
      <c r="I31">
        <v>3.8353980070297499E-3</v>
      </c>
      <c r="J31">
        <v>-1.24394239940124</v>
      </c>
      <c r="K31" t="s">
        <v>191</v>
      </c>
    </row>
    <row r="32" spans="1:11" ht="14.4" x14ac:dyDescent="0.3">
      <c r="A32">
        <v>13</v>
      </c>
      <c r="B32" t="s">
        <v>67</v>
      </c>
      <c r="C32" s="24" t="str">
        <f>VLOOKUP(B32,'Uniprot-API'!$A$1:$D$165,2,)</f>
        <v>RBP4</v>
      </c>
      <c r="D32" s="1" t="str">
        <f>VLOOKUP(B32,'BiomaRt Ensembl'!$A$1:$F$327,2,)</f>
        <v>RBP4</v>
      </c>
      <c r="E32">
        <v>1.07763907160852</v>
      </c>
      <c r="F32">
        <v>-0.92491228332575104</v>
      </c>
      <c r="G32">
        <v>11.390178176798299</v>
      </c>
      <c r="H32" s="4">
        <v>1.5006248520342101E-5</v>
      </c>
      <c r="I32">
        <v>1.3043892944605099E-4</v>
      </c>
      <c r="J32">
        <v>3.47710761108483</v>
      </c>
      <c r="K32" t="s">
        <v>194</v>
      </c>
    </row>
    <row r="33" spans="1:11" ht="14.4" hidden="1" x14ac:dyDescent="0.3">
      <c r="A33">
        <v>32</v>
      </c>
      <c r="B33" t="s">
        <v>45</v>
      </c>
      <c r="E33">
        <v>0.551949596572062</v>
      </c>
      <c r="F33">
        <v>0.166732121134294</v>
      </c>
      <c r="G33">
        <v>5.4371882526534101</v>
      </c>
      <c r="H33">
        <v>1.21750109846413E-3</v>
      </c>
      <c r="I33">
        <v>4.2993007539514697E-3</v>
      </c>
      <c r="J33">
        <v>-1.4434721048026899</v>
      </c>
      <c r="K33" t="s">
        <v>191</v>
      </c>
    </row>
    <row r="34" spans="1:11" ht="14.4" hidden="1" x14ac:dyDescent="0.3">
      <c r="A34">
        <v>33</v>
      </c>
      <c r="B34" t="s">
        <v>80</v>
      </c>
      <c r="E34">
        <v>0.52688031600736795</v>
      </c>
      <c r="F34">
        <v>-1.9174330818805401</v>
      </c>
      <c r="G34">
        <v>5.4061014424376896</v>
      </c>
      <c r="H34">
        <v>1.25636267785995E-3</v>
      </c>
      <c r="I34">
        <v>4.3020903817628502E-3</v>
      </c>
      <c r="J34">
        <v>-1.4785292606527001</v>
      </c>
      <c r="K34" t="s">
        <v>191</v>
      </c>
    </row>
    <row r="35" spans="1:11" ht="14.4" hidden="1" x14ac:dyDescent="0.3">
      <c r="A35">
        <v>34</v>
      </c>
      <c r="B35" t="s">
        <v>47</v>
      </c>
      <c r="E35">
        <v>0.50598815075175396</v>
      </c>
      <c r="F35">
        <v>-1.55102622998935</v>
      </c>
      <c r="G35">
        <v>5.2681731541795802</v>
      </c>
      <c r="H35">
        <v>1.44647217894696E-3</v>
      </c>
      <c r="I35">
        <v>4.8073928300296099E-3</v>
      </c>
      <c r="J35">
        <v>-1.63565812028112</v>
      </c>
      <c r="K35" t="s">
        <v>191</v>
      </c>
    </row>
    <row r="36" spans="1:11" ht="14.4" x14ac:dyDescent="0.3">
      <c r="A36">
        <v>14</v>
      </c>
      <c r="B36" t="s">
        <v>170</v>
      </c>
      <c r="C36" s="24" t="str">
        <f>VLOOKUP(B36,'Uniprot-API'!$A$1:$D$165,2,)</f>
        <v>NUCB1</v>
      </c>
      <c r="D36" s="1" t="str">
        <f>VLOOKUP(B36,'BiomaRt Ensembl'!$A$1:$F$327,2,)</f>
        <v>NUCB1</v>
      </c>
      <c r="E36">
        <v>1.0480860560051699</v>
      </c>
      <c r="F36">
        <v>-1.1868287578500001</v>
      </c>
      <c r="G36">
        <v>11.031072590765501</v>
      </c>
      <c r="H36" s="4">
        <v>1.8331573295455299E-5</v>
      </c>
      <c r="I36">
        <v>1.45171015526766E-4</v>
      </c>
      <c r="J36">
        <v>3.2543295730758799</v>
      </c>
      <c r="K36" t="s">
        <v>194</v>
      </c>
    </row>
    <row r="37" spans="1:11" ht="14.4" hidden="1" x14ac:dyDescent="0.3">
      <c r="A37">
        <v>36</v>
      </c>
      <c r="B37" t="s">
        <v>107</v>
      </c>
      <c r="E37">
        <v>0.96361855705231203</v>
      </c>
      <c r="F37">
        <v>-2.1821325841869199</v>
      </c>
      <c r="G37">
        <v>5.04637794706042</v>
      </c>
      <c r="H37">
        <v>1.82386204680366E-3</v>
      </c>
      <c r="I37">
        <v>5.7249003135781597E-3</v>
      </c>
      <c r="J37">
        <v>-1.8938364519113</v>
      </c>
      <c r="K37" t="s">
        <v>191</v>
      </c>
    </row>
    <row r="38" spans="1:11" ht="14.4" hidden="1" x14ac:dyDescent="0.3">
      <c r="A38">
        <v>37</v>
      </c>
      <c r="B38" t="s">
        <v>68</v>
      </c>
      <c r="E38">
        <v>0.52607044558103</v>
      </c>
      <c r="F38">
        <v>-3.9157345236918299</v>
      </c>
      <c r="G38">
        <v>4.9383392208236998</v>
      </c>
      <c r="H38">
        <v>2.0468141523125902E-3</v>
      </c>
      <c r="I38">
        <v>6.2375697650671096E-3</v>
      </c>
      <c r="J38">
        <v>-2.02209932517016</v>
      </c>
      <c r="K38" t="s">
        <v>191</v>
      </c>
    </row>
    <row r="39" spans="1:11" ht="14.4" hidden="1" x14ac:dyDescent="0.3">
      <c r="A39">
        <v>38</v>
      </c>
      <c r="B39" t="s">
        <v>37</v>
      </c>
      <c r="E39">
        <v>0.476878667183814</v>
      </c>
      <c r="F39">
        <v>-1.8085674746510401</v>
      </c>
      <c r="G39">
        <v>4.9155751014933902</v>
      </c>
      <c r="H39">
        <v>2.0975898325004501E-3</v>
      </c>
      <c r="I39">
        <v>6.2375697650671096E-3</v>
      </c>
      <c r="J39">
        <v>-2.0493361332159101</v>
      </c>
      <c r="K39" t="s">
        <v>191</v>
      </c>
    </row>
    <row r="40" spans="1:11" ht="14.4" hidden="1" x14ac:dyDescent="0.3">
      <c r="A40">
        <v>39</v>
      </c>
      <c r="B40" t="s">
        <v>42</v>
      </c>
      <c r="E40">
        <v>0.48593675098480799</v>
      </c>
      <c r="F40">
        <v>-3.0919515608427699</v>
      </c>
      <c r="G40">
        <v>4.7346403496996103</v>
      </c>
      <c r="H40">
        <v>2.55518867998453E-3</v>
      </c>
      <c r="I40">
        <v>7.3986662554110898E-3</v>
      </c>
      <c r="J40">
        <v>-2.2684595984878202</v>
      </c>
      <c r="K40" t="s">
        <v>191</v>
      </c>
    </row>
    <row r="41" spans="1:11" ht="14.4" x14ac:dyDescent="0.3">
      <c r="A41">
        <v>31</v>
      </c>
      <c r="B41" t="s">
        <v>22</v>
      </c>
      <c r="C41" s="24" t="str">
        <f>VLOOKUP(B41,'Uniprot-API'!$A$1:$D$165,2,)</f>
        <v>TPM4</v>
      </c>
      <c r="D41" s="1" t="str">
        <f>VLOOKUP(B41,'BiomaRt Ensembl'!$A$1:$F$327,2,)</f>
        <v>RAB8A</v>
      </c>
      <c r="E41">
        <v>1.1718617557020501</v>
      </c>
      <c r="F41">
        <v>-0.36128790985230003</v>
      </c>
      <c r="G41">
        <v>5.5431590078201101</v>
      </c>
      <c r="H41">
        <v>1.09484415456146E-3</v>
      </c>
      <c r="I41">
        <v>3.9908835311433799E-3</v>
      </c>
      <c r="J41">
        <v>-1.3249428126002001</v>
      </c>
      <c r="K41" t="s">
        <v>194</v>
      </c>
    </row>
    <row r="42" spans="1:11" ht="14.4" x14ac:dyDescent="0.3">
      <c r="A42">
        <v>40</v>
      </c>
      <c r="B42" t="s">
        <v>19</v>
      </c>
      <c r="C42" s="24" t="str">
        <f>VLOOKUP(B42,'Uniprot-API'!$A$1:$D$165,2,)</f>
        <v>RRBP1</v>
      </c>
      <c r="D42" s="1" t="str">
        <f>VLOOKUP(B42,'BiomaRt Ensembl'!$A$1:$F$327,2,)</f>
        <v>RRBP1</v>
      </c>
      <c r="E42">
        <v>1.24264452905787</v>
      </c>
      <c r="F42">
        <v>-3.5062636188479201</v>
      </c>
      <c r="G42">
        <v>4.7123183208182002</v>
      </c>
      <c r="H42">
        <v>2.6189969045702999E-3</v>
      </c>
      <c r="I42">
        <v>7.3986662554110898E-3</v>
      </c>
      <c r="J42">
        <v>-2.29581954583375</v>
      </c>
      <c r="K42" t="s">
        <v>194</v>
      </c>
    </row>
    <row r="43" spans="1:11" ht="14.4" hidden="1" x14ac:dyDescent="0.3">
      <c r="A43">
        <v>42</v>
      </c>
      <c r="B43" t="s">
        <v>121</v>
      </c>
      <c r="E43">
        <v>-0.83366899234603098</v>
      </c>
      <c r="F43">
        <v>-1.15930937743089</v>
      </c>
      <c r="G43">
        <v>-3.19568606311796</v>
      </c>
      <c r="H43">
        <v>1.6640022947091299E-2</v>
      </c>
      <c r="I43">
        <v>4.4769585548126503E-2</v>
      </c>
      <c r="J43">
        <v>-4.32018740392797</v>
      </c>
      <c r="K43" t="s">
        <v>191</v>
      </c>
    </row>
    <row r="44" spans="1:11" ht="14.4" hidden="1" x14ac:dyDescent="0.3">
      <c r="A44">
        <v>43</v>
      </c>
      <c r="B44" t="s">
        <v>149</v>
      </c>
      <c r="E44">
        <v>-0.439826580503623</v>
      </c>
      <c r="F44">
        <v>-1.9340078944517001</v>
      </c>
      <c r="G44">
        <v>-3.0799552691348202</v>
      </c>
      <c r="H44">
        <v>1.9431621661830201E-2</v>
      </c>
      <c r="I44">
        <v>5.1064494134577101E-2</v>
      </c>
      <c r="J44">
        <v>-4.4865898192961904</v>
      </c>
      <c r="K44" t="s">
        <v>191</v>
      </c>
    </row>
    <row r="45" spans="1:11" ht="14.4" hidden="1" x14ac:dyDescent="0.3">
      <c r="A45">
        <v>44</v>
      </c>
      <c r="B45" t="s">
        <v>144</v>
      </c>
      <c r="E45">
        <v>-0.49721669465705598</v>
      </c>
      <c r="F45">
        <v>-2.3906738989065501</v>
      </c>
      <c r="G45">
        <v>-3.0247323656846401</v>
      </c>
      <c r="H45">
        <v>2.0937653522295499E-2</v>
      </c>
      <c r="I45">
        <v>5.2945802451612803E-2</v>
      </c>
      <c r="J45">
        <v>-4.5664188527363896</v>
      </c>
      <c r="K45" t="s">
        <v>191</v>
      </c>
    </row>
    <row r="46" spans="1:11" ht="14.4" hidden="1" x14ac:dyDescent="0.3">
      <c r="A46">
        <v>45</v>
      </c>
      <c r="B46" t="s">
        <v>146</v>
      </c>
      <c r="E46">
        <v>0.43049267012932402</v>
      </c>
      <c r="F46">
        <v>-0.39461827804799599</v>
      </c>
      <c r="G46">
        <v>3.0195734307855702</v>
      </c>
      <c r="H46">
        <v>2.1084611595774998E-2</v>
      </c>
      <c r="I46">
        <v>5.2945802451612803E-2</v>
      </c>
      <c r="J46">
        <v>-4.57388955251486</v>
      </c>
      <c r="K46" t="s">
        <v>191</v>
      </c>
    </row>
    <row r="47" spans="1:11" ht="14.4" hidden="1" x14ac:dyDescent="0.3">
      <c r="A47">
        <v>46</v>
      </c>
      <c r="B47" t="s">
        <v>64</v>
      </c>
      <c r="E47">
        <v>-0.61823618599713703</v>
      </c>
      <c r="F47">
        <v>-1.3392325375734899</v>
      </c>
      <c r="G47">
        <v>-2.91217728021602</v>
      </c>
      <c r="H47">
        <v>2.4408533497437102E-2</v>
      </c>
      <c r="I47">
        <v>5.99600931567476E-2</v>
      </c>
      <c r="J47">
        <v>-4.7298747992681403</v>
      </c>
      <c r="K47" t="s">
        <v>191</v>
      </c>
    </row>
    <row r="48" spans="1:11" ht="14.4" hidden="1" x14ac:dyDescent="0.3">
      <c r="A48">
        <v>47</v>
      </c>
      <c r="B48" t="s">
        <v>33</v>
      </c>
      <c r="E48">
        <v>-1.09354566528023</v>
      </c>
      <c r="F48">
        <v>1.86410030457751</v>
      </c>
      <c r="G48">
        <v>-2.8263056518859599</v>
      </c>
      <c r="H48">
        <v>2.7468052161966901E-2</v>
      </c>
      <c r="I48">
        <v>6.6040210517069306E-2</v>
      </c>
      <c r="J48">
        <v>-4.8551584777256096</v>
      </c>
      <c r="K48" t="s">
        <v>191</v>
      </c>
    </row>
    <row r="49" spans="1:11" ht="14.4" hidden="1" x14ac:dyDescent="0.3">
      <c r="A49">
        <v>48</v>
      </c>
      <c r="B49" t="s">
        <v>84</v>
      </c>
      <c r="E49">
        <v>-1.1953662535257601</v>
      </c>
      <c r="F49">
        <v>-1.5353450285880901</v>
      </c>
      <c r="G49">
        <v>-2.8058531374057001</v>
      </c>
      <c r="H49">
        <v>2.82552882882488E-2</v>
      </c>
      <c r="I49">
        <v>6.6517657845252307E-2</v>
      </c>
      <c r="J49">
        <v>-4.8850600203602799</v>
      </c>
      <c r="K49" t="s">
        <v>191</v>
      </c>
    </row>
    <row r="50" spans="1:11" ht="14.4" hidden="1" x14ac:dyDescent="0.3">
      <c r="A50">
        <v>49</v>
      </c>
      <c r="B50" t="s">
        <v>87</v>
      </c>
      <c r="E50">
        <v>1.3183624950869299</v>
      </c>
      <c r="F50">
        <v>-0.46551808953807</v>
      </c>
      <c r="G50">
        <v>2.6139306025750901</v>
      </c>
      <c r="H50">
        <v>3.6918532887369598E-2</v>
      </c>
      <c r="I50">
        <v>8.5138657474954499E-2</v>
      </c>
      <c r="J50">
        <v>-5.16646984672178</v>
      </c>
      <c r="K50" t="s">
        <v>191</v>
      </c>
    </row>
    <row r="51" spans="1:11" ht="14.4" hidden="1" x14ac:dyDescent="0.3">
      <c r="A51">
        <v>50</v>
      </c>
      <c r="B51" t="s">
        <v>43</v>
      </c>
      <c r="E51">
        <v>0.66656429896965597</v>
      </c>
      <c r="F51">
        <v>-1.7112802031116701</v>
      </c>
      <c r="G51">
        <v>2.42266418525552</v>
      </c>
      <c r="H51">
        <v>4.8366367342158302E-2</v>
      </c>
      <c r="I51">
        <v>0.109307990193278</v>
      </c>
      <c r="J51">
        <v>-5.4474149830959497</v>
      </c>
      <c r="K51" t="s">
        <v>191</v>
      </c>
    </row>
    <row r="52" spans="1:11" ht="14.4" hidden="1" x14ac:dyDescent="0.3">
      <c r="A52">
        <v>51</v>
      </c>
      <c r="B52" t="s">
        <v>59</v>
      </c>
      <c r="E52">
        <v>-0.60785770915120396</v>
      </c>
      <c r="F52">
        <v>-2.5661366884338102</v>
      </c>
      <c r="G52">
        <v>-2.33611577375672</v>
      </c>
      <c r="H52">
        <v>5.4705165698955401E-2</v>
      </c>
      <c r="I52">
        <v>0.12120948478396</v>
      </c>
      <c r="J52">
        <v>-5.57427477374089</v>
      </c>
      <c r="K52" t="s">
        <v>191</v>
      </c>
    </row>
    <row r="53" spans="1:11" ht="14.4" hidden="1" x14ac:dyDescent="0.3">
      <c r="A53">
        <v>52</v>
      </c>
      <c r="B53" t="s">
        <v>27</v>
      </c>
      <c r="E53">
        <v>-0.52454903531317298</v>
      </c>
      <c r="F53">
        <v>-0.55021320403502405</v>
      </c>
      <c r="G53">
        <v>-2.17490087780706</v>
      </c>
      <c r="H53">
        <v>6.8886840077416495E-2</v>
      </c>
      <c r="I53">
        <v>0.149696402475924</v>
      </c>
      <c r="J53">
        <v>-5.8093321703388696</v>
      </c>
      <c r="K53" t="s">
        <v>191</v>
      </c>
    </row>
    <row r="54" spans="1:11" ht="14.4" hidden="1" x14ac:dyDescent="0.3">
      <c r="A54">
        <v>53</v>
      </c>
      <c r="B54" t="s">
        <v>141</v>
      </c>
      <c r="E54">
        <v>-0.38074888666412199</v>
      </c>
      <c r="F54">
        <v>-1.5742382888114299</v>
      </c>
      <c r="G54">
        <v>-2.0163431253584898</v>
      </c>
      <c r="H54">
        <v>8.6482978898715507E-2</v>
      </c>
      <c r="I54">
        <v>0.18438823802933699</v>
      </c>
      <c r="J54">
        <v>-6.0378329663040704</v>
      </c>
      <c r="K54" t="s">
        <v>191</v>
      </c>
    </row>
    <row r="55" spans="1:11" ht="14.4" hidden="1" x14ac:dyDescent="0.3">
      <c r="A55">
        <v>54</v>
      </c>
      <c r="B55" t="s">
        <v>150</v>
      </c>
      <c r="E55">
        <v>0.275214441514681</v>
      </c>
      <c r="F55">
        <v>3.6768180248546098</v>
      </c>
      <c r="G55">
        <v>1.8864952272708599</v>
      </c>
      <c r="H55">
        <v>0.104189780958388</v>
      </c>
      <c r="I55">
        <v>0.21534119840781901</v>
      </c>
      <c r="J55">
        <v>-6.2219513662738102</v>
      </c>
      <c r="K55" t="s">
        <v>191</v>
      </c>
    </row>
    <row r="56" spans="1:11" ht="14.4" hidden="1" x14ac:dyDescent="0.3">
      <c r="A56">
        <v>55</v>
      </c>
      <c r="B56" t="s">
        <v>23</v>
      </c>
      <c r="E56">
        <v>-0.56251689954769901</v>
      </c>
      <c r="F56">
        <v>-0.22896860337696101</v>
      </c>
      <c r="G56">
        <v>-1.88233911181543</v>
      </c>
      <c r="H56">
        <v>0.10481208772062001</v>
      </c>
      <c r="I56">
        <v>0.21534119840781901</v>
      </c>
      <c r="J56">
        <v>-6.2277887890031396</v>
      </c>
      <c r="K56" t="s">
        <v>191</v>
      </c>
    </row>
    <row r="57" spans="1:11" ht="14.4" hidden="1" x14ac:dyDescent="0.3">
      <c r="A57">
        <v>56</v>
      </c>
      <c r="B57" t="s">
        <v>57</v>
      </c>
      <c r="E57">
        <v>-0.57372709667102195</v>
      </c>
      <c r="F57">
        <v>-3.8689562051211799</v>
      </c>
      <c r="G57">
        <v>-1.86059561246057</v>
      </c>
      <c r="H57">
        <v>0.108127745757263</v>
      </c>
      <c r="I57">
        <v>0.21818634411733501</v>
      </c>
      <c r="J57">
        <v>-6.2582656313876397</v>
      </c>
      <c r="K57" t="s">
        <v>191</v>
      </c>
    </row>
    <row r="58" spans="1:11" ht="14.4" hidden="1" x14ac:dyDescent="0.3">
      <c r="A58">
        <v>57</v>
      </c>
      <c r="B58" t="s">
        <v>9</v>
      </c>
      <c r="E58">
        <v>-0.590777215772884</v>
      </c>
      <c r="F58">
        <v>3.3225609008957799</v>
      </c>
      <c r="G58">
        <v>-1.8055811882033199</v>
      </c>
      <c r="H58">
        <v>0.116981678616179</v>
      </c>
      <c r="I58">
        <v>0.231911047081196</v>
      </c>
      <c r="J58">
        <v>-6.3348805293554804</v>
      </c>
      <c r="K58" t="s">
        <v>191</v>
      </c>
    </row>
    <row r="59" spans="1:11" ht="14.4" hidden="1" x14ac:dyDescent="0.3">
      <c r="A59">
        <v>58</v>
      </c>
      <c r="B59" t="s">
        <v>12</v>
      </c>
      <c r="E59">
        <v>-0.63982872852862405</v>
      </c>
      <c r="F59">
        <v>-0.444576905306107</v>
      </c>
      <c r="G59">
        <v>-1.6396406676773501</v>
      </c>
      <c r="H59">
        <v>0.14814009024411701</v>
      </c>
      <c r="I59">
        <v>0.28861776202733103</v>
      </c>
      <c r="J59">
        <v>-6.56095964916324</v>
      </c>
      <c r="K59" t="s">
        <v>191</v>
      </c>
    </row>
    <row r="60" spans="1:11" ht="14.4" hidden="1" x14ac:dyDescent="0.3">
      <c r="A60">
        <v>59</v>
      </c>
      <c r="B60" t="s">
        <v>63</v>
      </c>
      <c r="E60">
        <v>0.28490016494332099</v>
      </c>
      <c r="F60">
        <v>-1.5343803861107901</v>
      </c>
      <c r="G60">
        <v>1.60793174707482</v>
      </c>
      <c r="H60">
        <v>0.154932227302265</v>
      </c>
      <c r="I60">
        <v>0.296734604833152</v>
      </c>
      <c r="J60">
        <v>-6.6031707166022997</v>
      </c>
      <c r="K60" t="s">
        <v>191</v>
      </c>
    </row>
    <row r="61" spans="1:11" ht="14.4" hidden="1" x14ac:dyDescent="0.3">
      <c r="A61">
        <v>60</v>
      </c>
      <c r="B61" t="s">
        <v>129</v>
      </c>
      <c r="E61">
        <v>-0.150921193632471</v>
      </c>
      <c r="F61">
        <v>-1.0725017169581601</v>
      </c>
      <c r="G61">
        <v>-1.59205665585116</v>
      </c>
      <c r="H61">
        <v>0.158441860493304</v>
      </c>
      <c r="I61">
        <v>0.29839883726238903</v>
      </c>
      <c r="J61">
        <v>-6.6241703334892099</v>
      </c>
      <c r="K61" t="s">
        <v>191</v>
      </c>
    </row>
    <row r="62" spans="1:11" ht="14.4" hidden="1" x14ac:dyDescent="0.3">
      <c r="A62">
        <v>61</v>
      </c>
      <c r="B62" t="s">
        <v>143</v>
      </c>
      <c r="E62">
        <v>-0.150921193632471</v>
      </c>
      <c r="F62">
        <v>-1.81952741407739</v>
      </c>
      <c r="G62">
        <v>-1.55495922074944</v>
      </c>
      <c r="H62">
        <v>0.16693577859271599</v>
      </c>
      <c r="I62">
        <v>0.30924168821273501</v>
      </c>
      <c r="J62">
        <v>-6.6728807798353698</v>
      </c>
      <c r="K62" t="s">
        <v>191</v>
      </c>
    </row>
    <row r="63" spans="1:11" ht="14.4" hidden="1" x14ac:dyDescent="0.3">
      <c r="A63">
        <v>62</v>
      </c>
      <c r="B63" t="s">
        <v>145</v>
      </c>
      <c r="E63">
        <v>-0.150921193632471</v>
      </c>
      <c r="F63">
        <v>-2.4566712162456201</v>
      </c>
      <c r="G63">
        <v>-1.5124686732420101</v>
      </c>
      <c r="H63">
        <v>0.17718455198749</v>
      </c>
      <c r="I63">
        <v>0.32293313507397398</v>
      </c>
      <c r="J63">
        <v>-6.7280194091584899</v>
      </c>
      <c r="K63" t="s">
        <v>191</v>
      </c>
    </row>
    <row r="64" spans="1:11" ht="14.4" hidden="1" x14ac:dyDescent="0.3">
      <c r="A64">
        <v>63</v>
      </c>
      <c r="B64" t="s">
        <v>155</v>
      </c>
      <c r="E64">
        <v>0.15601921472861499</v>
      </c>
      <c r="F64">
        <v>-3.1286329042524299</v>
      </c>
      <c r="G64">
        <v>1.4821923141712099</v>
      </c>
      <c r="H64">
        <v>0.18483859860507099</v>
      </c>
      <c r="I64">
        <v>0.33153589908528602</v>
      </c>
      <c r="J64">
        <v>-6.7668596426770904</v>
      </c>
      <c r="K64" t="s">
        <v>191</v>
      </c>
    </row>
    <row r="65" spans="1:11" ht="14.4" hidden="1" x14ac:dyDescent="0.3">
      <c r="A65">
        <v>64</v>
      </c>
      <c r="B65" t="s">
        <v>122</v>
      </c>
      <c r="E65">
        <v>0.390161155603238</v>
      </c>
      <c r="F65">
        <v>-4.7284440915432198</v>
      </c>
      <c r="G65">
        <v>1.47083937116837</v>
      </c>
      <c r="H65">
        <v>0.18778612784835</v>
      </c>
      <c r="I65">
        <v>0.33155988198224301</v>
      </c>
      <c r="J65">
        <v>-6.7813238211306803</v>
      </c>
      <c r="K65" t="s">
        <v>191</v>
      </c>
    </row>
    <row r="66" spans="1:11" ht="14.4" hidden="1" x14ac:dyDescent="0.3">
      <c r="A66">
        <v>65</v>
      </c>
      <c r="B66" t="s">
        <v>123</v>
      </c>
      <c r="E66">
        <v>0.50896272255806496</v>
      </c>
      <c r="F66">
        <v>-4.2467187321595299</v>
      </c>
      <c r="G66">
        <v>1.4460696963508499</v>
      </c>
      <c r="H66">
        <v>0.19436668156832099</v>
      </c>
      <c r="I66">
        <v>0.33789900026492697</v>
      </c>
      <c r="J66">
        <v>-6.8126863859899602</v>
      </c>
      <c r="K66" t="s">
        <v>191</v>
      </c>
    </row>
    <row r="67" spans="1:11" ht="14.4" hidden="1" x14ac:dyDescent="0.3">
      <c r="A67">
        <v>66</v>
      </c>
      <c r="B67" t="s">
        <v>18</v>
      </c>
      <c r="E67">
        <v>-0.61029925733065904</v>
      </c>
      <c r="F67">
        <v>-1.0245137041182999</v>
      </c>
      <c r="G67">
        <v>-1.39965256388516</v>
      </c>
      <c r="H67">
        <v>0.20726513700334101</v>
      </c>
      <c r="I67">
        <v>0.35486303759663002</v>
      </c>
      <c r="J67">
        <v>-6.8707105770173902</v>
      </c>
      <c r="K67" t="s">
        <v>191</v>
      </c>
    </row>
    <row r="68" spans="1:11" ht="14.4" hidden="1" x14ac:dyDescent="0.3">
      <c r="A68">
        <v>67</v>
      </c>
      <c r="B68" t="s">
        <v>53</v>
      </c>
      <c r="E68">
        <v>0.35489917205177801</v>
      </c>
      <c r="F68">
        <v>-2.5954910222251701</v>
      </c>
      <c r="G68">
        <v>1.3753429678793101</v>
      </c>
      <c r="H68">
        <v>0.214323657887142</v>
      </c>
      <c r="I68">
        <v>0.36147124389920998</v>
      </c>
      <c r="J68">
        <v>-6.9006935291677802</v>
      </c>
      <c r="K68" t="s">
        <v>191</v>
      </c>
    </row>
    <row r="69" spans="1:11" ht="14.4" hidden="1" x14ac:dyDescent="0.3">
      <c r="A69">
        <v>68</v>
      </c>
      <c r="B69" t="s">
        <v>15</v>
      </c>
      <c r="E69">
        <v>0.508877613449082</v>
      </c>
      <c r="F69">
        <v>0.35306024166782801</v>
      </c>
      <c r="G69">
        <v>1.2624734840884999</v>
      </c>
      <c r="H69">
        <v>0.24996978377798401</v>
      </c>
      <c r="I69">
        <v>0.415390964219297</v>
      </c>
      <c r="J69">
        <v>-7.0359616233977604</v>
      </c>
      <c r="K69" t="s">
        <v>191</v>
      </c>
    </row>
    <row r="70" spans="1:11" ht="14.4" hidden="1" x14ac:dyDescent="0.3">
      <c r="A70">
        <v>69</v>
      </c>
      <c r="B70" t="s">
        <v>46</v>
      </c>
      <c r="E70">
        <v>0.49506929970355601</v>
      </c>
      <c r="F70">
        <v>-2.14264420721203</v>
      </c>
      <c r="G70">
        <v>1.20591597155737</v>
      </c>
      <c r="H70">
        <v>0.26969831556313301</v>
      </c>
      <c r="I70">
        <v>0.44167985012513</v>
      </c>
      <c r="J70">
        <v>-7.1011083242208199</v>
      </c>
      <c r="K70" t="s">
        <v>191</v>
      </c>
    </row>
    <row r="71" spans="1:11" ht="14.4" hidden="1" x14ac:dyDescent="0.3">
      <c r="A71">
        <v>70</v>
      </c>
      <c r="B71" t="s">
        <v>95</v>
      </c>
      <c r="E71">
        <v>0.49551126321532701</v>
      </c>
      <c r="F71">
        <v>-1.55701302286731</v>
      </c>
      <c r="G71">
        <v>1.1389291465637099</v>
      </c>
      <c r="H71">
        <v>0.29476334685866001</v>
      </c>
      <c r="I71">
        <v>0.463447010141743</v>
      </c>
      <c r="J71">
        <v>-7.1757841080725902</v>
      </c>
      <c r="K71" t="s">
        <v>191</v>
      </c>
    </row>
    <row r="72" spans="1:11" ht="14.4" hidden="1" x14ac:dyDescent="0.3">
      <c r="A72">
        <v>71</v>
      </c>
      <c r="B72" t="s">
        <v>11</v>
      </c>
      <c r="E72">
        <v>0.3538002141146</v>
      </c>
      <c r="F72">
        <v>1.99748730110291</v>
      </c>
      <c r="G72">
        <v>1.1306930997339599</v>
      </c>
      <c r="H72">
        <v>0.29797551216193202</v>
      </c>
      <c r="I72">
        <v>0.463447010141743</v>
      </c>
      <c r="J72">
        <v>-7.1847707157638601</v>
      </c>
      <c r="K72" t="s">
        <v>191</v>
      </c>
    </row>
    <row r="73" spans="1:11" ht="14.4" hidden="1" x14ac:dyDescent="0.3">
      <c r="A73">
        <v>72</v>
      </c>
      <c r="B73" t="s">
        <v>44</v>
      </c>
      <c r="E73">
        <v>0.239759960324014</v>
      </c>
      <c r="F73">
        <v>-4.8143876317027798</v>
      </c>
      <c r="G73">
        <v>1.12095998399604</v>
      </c>
      <c r="H73">
        <v>0.30180891880364402</v>
      </c>
      <c r="I73">
        <v>0.463447010141743</v>
      </c>
      <c r="J73">
        <v>-7.1953342128718996</v>
      </c>
      <c r="K73" t="s">
        <v>191</v>
      </c>
    </row>
    <row r="74" spans="1:11" ht="14.4" hidden="1" x14ac:dyDescent="0.3">
      <c r="A74">
        <v>73</v>
      </c>
      <c r="B74" t="s">
        <v>52</v>
      </c>
      <c r="E74">
        <v>-0.42850930112698798</v>
      </c>
      <c r="F74">
        <v>-4.6692672976209604</v>
      </c>
      <c r="G74">
        <v>-1.1127550649248401</v>
      </c>
      <c r="H74">
        <v>0.30507202001945899</v>
      </c>
      <c r="I74">
        <v>0.463447010141743</v>
      </c>
      <c r="J74">
        <v>-7.2041910762362198</v>
      </c>
      <c r="K74" t="s">
        <v>191</v>
      </c>
    </row>
    <row r="75" spans="1:11" ht="14.4" hidden="1" x14ac:dyDescent="0.3">
      <c r="A75">
        <v>74</v>
      </c>
      <c r="B75" t="s">
        <v>36</v>
      </c>
      <c r="E75">
        <v>-0.52526835290140395</v>
      </c>
      <c r="F75">
        <v>-2.8009074124562598</v>
      </c>
      <c r="G75">
        <v>-1.0947811895150299</v>
      </c>
      <c r="H75">
        <v>0.31232176450696902</v>
      </c>
      <c r="I75">
        <v>0.463447010141743</v>
      </c>
      <c r="J75">
        <v>-7.22343762430756</v>
      </c>
      <c r="K75" t="s">
        <v>191</v>
      </c>
    </row>
    <row r="76" spans="1:11" ht="14.4" hidden="1" x14ac:dyDescent="0.3">
      <c r="A76">
        <v>75</v>
      </c>
      <c r="B76" t="s">
        <v>90</v>
      </c>
      <c r="E76">
        <v>0.14993545001396699</v>
      </c>
      <c r="F76">
        <v>-6.2990248327474199E-2</v>
      </c>
      <c r="G76">
        <v>1.0900872502840699</v>
      </c>
      <c r="H76">
        <v>0.31423812476317098</v>
      </c>
      <c r="I76">
        <v>0.463447010141743</v>
      </c>
      <c r="J76">
        <v>-7.2284284061625304</v>
      </c>
      <c r="K76" t="s">
        <v>191</v>
      </c>
    </row>
    <row r="77" spans="1:11" ht="14.4" hidden="1" x14ac:dyDescent="0.3">
      <c r="A77">
        <v>76</v>
      </c>
      <c r="B77" t="s">
        <v>76</v>
      </c>
      <c r="E77">
        <v>0.34435619120226202</v>
      </c>
      <c r="F77">
        <v>0.92249837524940304</v>
      </c>
      <c r="G77">
        <v>1.0872989244165301</v>
      </c>
      <c r="H77">
        <v>0.31538103351316898</v>
      </c>
      <c r="I77">
        <v>0.463447010141743</v>
      </c>
      <c r="J77">
        <v>-7.2313860416553499</v>
      </c>
      <c r="K77" t="s">
        <v>191</v>
      </c>
    </row>
    <row r="78" spans="1:11" ht="14.4" hidden="1" x14ac:dyDescent="0.3">
      <c r="A78">
        <v>77</v>
      </c>
      <c r="B78" t="s">
        <v>108</v>
      </c>
      <c r="E78">
        <v>-0.14828079155068</v>
      </c>
      <c r="F78">
        <v>-1.1992884650176601</v>
      </c>
      <c r="G78">
        <v>-1.08448760060543</v>
      </c>
      <c r="H78">
        <v>0.31653679913459498</v>
      </c>
      <c r="I78">
        <v>0.463447010141743</v>
      </c>
      <c r="J78">
        <v>-7.2343627546227696</v>
      </c>
      <c r="K78" t="s">
        <v>191</v>
      </c>
    </row>
    <row r="79" spans="1:11" ht="14.4" hidden="1" x14ac:dyDescent="0.3">
      <c r="A79">
        <v>78</v>
      </c>
      <c r="B79" t="s">
        <v>21</v>
      </c>
      <c r="E79">
        <v>0.63062212220487501</v>
      </c>
      <c r="F79">
        <v>-2.41305984739164</v>
      </c>
      <c r="G79">
        <v>1.06468613961392</v>
      </c>
      <c r="H79">
        <v>0.32477530366819901</v>
      </c>
      <c r="I79">
        <v>0.463447010141743</v>
      </c>
      <c r="J79">
        <v>-7.2551766521430601</v>
      </c>
      <c r="K79" t="s">
        <v>191</v>
      </c>
    </row>
    <row r="80" spans="1:11" ht="14.4" hidden="1" x14ac:dyDescent="0.3">
      <c r="A80">
        <v>79</v>
      </c>
      <c r="B80" t="s">
        <v>86</v>
      </c>
      <c r="E80">
        <v>0.50731009659434501</v>
      </c>
      <c r="F80">
        <v>-2.1629540906446199</v>
      </c>
      <c r="G80">
        <v>1.06124842009266</v>
      </c>
      <c r="H80">
        <v>0.32622311534213599</v>
      </c>
      <c r="I80">
        <v>0.463447010141743</v>
      </c>
      <c r="J80">
        <v>-7.2587627076223296</v>
      </c>
      <c r="K80" t="s">
        <v>191</v>
      </c>
    </row>
    <row r="81" spans="1:11" ht="14.4" hidden="1" x14ac:dyDescent="0.3">
      <c r="A81">
        <v>80</v>
      </c>
      <c r="B81" t="s">
        <v>130</v>
      </c>
      <c r="E81">
        <v>0.20765156351413</v>
      </c>
      <c r="F81">
        <v>-2.51464670216173</v>
      </c>
      <c r="G81">
        <v>1.05242047297224</v>
      </c>
      <c r="H81">
        <v>0.32996490456386601</v>
      </c>
      <c r="I81">
        <v>0.463447010141743</v>
      </c>
      <c r="J81">
        <v>-7.26793401470922</v>
      </c>
      <c r="K81" t="s">
        <v>191</v>
      </c>
    </row>
    <row r="82" spans="1:11" ht="14.4" hidden="1" x14ac:dyDescent="0.3">
      <c r="A82">
        <v>81</v>
      </c>
      <c r="B82" t="s">
        <v>134</v>
      </c>
      <c r="E82">
        <v>0.27358028885200902</v>
      </c>
      <c r="F82">
        <v>-1.2280392203547901</v>
      </c>
      <c r="G82">
        <v>1.04556361125528</v>
      </c>
      <c r="H82">
        <v>0.332894987472445</v>
      </c>
      <c r="I82">
        <v>0.463447010141743</v>
      </c>
      <c r="J82">
        <v>-7.2750200386196697</v>
      </c>
      <c r="K82" t="s">
        <v>191</v>
      </c>
    </row>
    <row r="83" spans="1:11" ht="14.4" hidden="1" x14ac:dyDescent="0.3">
      <c r="A83">
        <v>82</v>
      </c>
      <c r="B83" t="s">
        <v>126</v>
      </c>
      <c r="E83">
        <v>0.64710024618911199</v>
      </c>
      <c r="F83">
        <v>-2.8480151719892901</v>
      </c>
      <c r="G83">
        <v>1.03764040066073</v>
      </c>
      <c r="H83">
        <v>0.33630667992586699</v>
      </c>
      <c r="I83">
        <v>0.463447010141743</v>
      </c>
      <c r="J83">
        <v>-7.2831668784811496</v>
      </c>
      <c r="K83" t="s">
        <v>191</v>
      </c>
    </row>
    <row r="84" spans="1:11" ht="14.4" hidden="1" x14ac:dyDescent="0.3">
      <c r="A84">
        <v>83</v>
      </c>
      <c r="B84" t="s">
        <v>16</v>
      </c>
      <c r="E84">
        <v>1.274576250712</v>
      </c>
      <c r="F84">
        <v>3.7855600205413</v>
      </c>
      <c r="G84">
        <v>0.97717189326910803</v>
      </c>
      <c r="H84">
        <v>0.36326737523911101</v>
      </c>
      <c r="I84">
        <v>0.49456883616891101</v>
      </c>
      <c r="J84">
        <v>-7.3438540750972603</v>
      </c>
      <c r="K84" t="s">
        <v>191</v>
      </c>
    </row>
    <row r="85" spans="1:11" ht="14.4" hidden="1" x14ac:dyDescent="0.3">
      <c r="A85">
        <v>84</v>
      </c>
      <c r="B85" t="s">
        <v>34</v>
      </c>
      <c r="E85">
        <v>0.24121729658632901</v>
      </c>
      <c r="F85">
        <v>-0.80215746717855596</v>
      </c>
      <c r="G85">
        <v>0.93964066782409505</v>
      </c>
      <c r="H85">
        <v>0.38083003363050399</v>
      </c>
      <c r="I85">
        <v>0.51230706905055901</v>
      </c>
      <c r="J85">
        <v>-7.3801550899763599</v>
      </c>
      <c r="K85" t="s">
        <v>191</v>
      </c>
    </row>
    <row r="86" spans="1:11" ht="14.4" hidden="1" x14ac:dyDescent="0.3">
      <c r="A86">
        <v>85</v>
      </c>
      <c r="B86" t="s">
        <v>81</v>
      </c>
      <c r="E86">
        <v>0.169965183045822</v>
      </c>
      <c r="F86">
        <v>-2.1953472216871801</v>
      </c>
      <c r="G86">
        <v>0.87449277621163302</v>
      </c>
      <c r="H86">
        <v>0.41283806057191602</v>
      </c>
      <c r="I86">
        <v>0.54883177464266397</v>
      </c>
      <c r="J86">
        <v>-7.4405648023732596</v>
      </c>
      <c r="K86" t="s">
        <v>191</v>
      </c>
    </row>
    <row r="87" spans="1:11" ht="14.4" hidden="1" x14ac:dyDescent="0.3">
      <c r="A87">
        <v>86</v>
      </c>
      <c r="B87" t="s">
        <v>132</v>
      </c>
      <c r="E87">
        <v>-0.29500529918754598</v>
      </c>
      <c r="F87">
        <v>1.72534772708519</v>
      </c>
      <c r="G87">
        <v>-0.83420307713016195</v>
      </c>
      <c r="H87">
        <v>0.43360285076128702</v>
      </c>
      <c r="I87">
        <v>0.56973397832587802</v>
      </c>
      <c r="J87">
        <v>-7.4762061764426999</v>
      </c>
      <c r="K87" t="s">
        <v>191</v>
      </c>
    </row>
    <row r="88" spans="1:11" ht="14.4" hidden="1" x14ac:dyDescent="0.3">
      <c r="A88">
        <v>87</v>
      </c>
      <c r="B88" t="s">
        <v>88</v>
      </c>
      <c r="E88">
        <v>0.41847986375027901</v>
      </c>
      <c r="F88">
        <v>-2.0751162005306498</v>
      </c>
      <c r="G88">
        <v>0.79359172760608199</v>
      </c>
      <c r="H88">
        <v>0.45528227407386301</v>
      </c>
      <c r="I88">
        <v>0.58511964996388</v>
      </c>
      <c r="J88">
        <v>-7.5107525294408299</v>
      </c>
      <c r="K88" t="s">
        <v>191</v>
      </c>
    </row>
    <row r="89" spans="1:11" ht="14.4" hidden="1" x14ac:dyDescent="0.3">
      <c r="A89">
        <v>88</v>
      </c>
      <c r="B89" t="s">
        <v>93</v>
      </c>
      <c r="E89">
        <v>-0.45053642410146399</v>
      </c>
      <c r="F89">
        <v>-1.3566448603634</v>
      </c>
      <c r="G89">
        <v>-0.79288090917154497</v>
      </c>
      <c r="H89">
        <v>0.45566839997187097</v>
      </c>
      <c r="I89">
        <v>0.58511964996388</v>
      </c>
      <c r="J89">
        <v>-7.5113446091151399</v>
      </c>
      <c r="K89" t="s">
        <v>191</v>
      </c>
    </row>
    <row r="90" spans="1:11" ht="14.4" hidden="1" x14ac:dyDescent="0.3">
      <c r="A90">
        <v>89</v>
      </c>
      <c r="B90" t="s">
        <v>74</v>
      </c>
      <c r="E90">
        <v>0.11915822584347301</v>
      </c>
      <c r="F90">
        <v>-3.0123238317441299</v>
      </c>
      <c r="G90">
        <v>0.72889395176773497</v>
      </c>
      <c r="H90">
        <v>0.491360049263312</v>
      </c>
      <c r="I90">
        <v>0.62386163558150898</v>
      </c>
      <c r="J90">
        <v>-7.5628246468449802</v>
      </c>
      <c r="K90" t="s">
        <v>191</v>
      </c>
    </row>
    <row r="91" spans="1:11" ht="14.4" hidden="1" x14ac:dyDescent="0.3">
      <c r="A91">
        <v>90</v>
      </c>
      <c r="B91" t="s">
        <v>55</v>
      </c>
      <c r="E91">
        <v>0.26094216453889901</v>
      </c>
      <c r="F91">
        <v>-1.48467558816997</v>
      </c>
      <c r="G91">
        <v>0.69025396398219696</v>
      </c>
      <c r="H91">
        <v>0.513797211694905</v>
      </c>
      <c r="I91">
        <v>0.64510094357249204</v>
      </c>
      <c r="J91">
        <v>-7.5921292523463899</v>
      </c>
      <c r="K91" t="s">
        <v>191</v>
      </c>
    </row>
    <row r="92" spans="1:11" ht="14.4" hidden="1" x14ac:dyDescent="0.3">
      <c r="A92">
        <v>91</v>
      </c>
      <c r="B92" t="s">
        <v>61</v>
      </c>
      <c r="E92">
        <v>0.34874093865174699</v>
      </c>
      <c r="F92">
        <v>-3.3400740312950701</v>
      </c>
      <c r="G92">
        <v>0.67611987084218095</v>
      </c>
      <c r="H92">
        <v>0.52216811781754902</v>
      </c>
      <c r="I92">
        <v>0.64840656388332996</v>
      </c>
      <c r="J92">
        <v>-7.6025046416961297</v>
      </c>
      <c r="K92" t="s">
        <v>191</v>
      </c>
    </row>
    <row r="93" spans="1:11" ht="14.4" hidden="1" x14ac:dyDescent="0.3">
      <c r="A93">
        <v>92</v>
      </c>
      <c r="B93" t="s">
        <v>39</v>
      </c>
      <c r="E93">
        <v>0.33147960767631601</v>
      </c>
      <c r="F93">
        <v>-2.0918665403598502</v>
      </c>
      <c r="G93">
        <v>0.64019433203134601</v>
      </c>
      <c r="H93">
        <v>0.54383336220720302</v>
      </c>
      <c r="I93">
        <v>0.66796923836319499</v>
      </c>
      <c r="J93">
        <v>-7.6280319671245698</v>
      </c>
      <c r="K93" t="s">
        <v>191</v>
      </c>
    </row>
    <row r="94" spans="1:11" ht="14.4" hidden="1" x14ac:dyDescent="0.3">
      <c r="A94">
        <v>93</v>
      </c>
      <c r="B94" t="s">
        <v>60</v>
      </c>
      <c r="E94">
        <v>0.30799218006395501</v>
      </c>
      <c r="F94">
        <v>-1.37633693109638</v>
      </c>
      <c r="G94">
        <v>0.59713495656979898</v>
      </c>
      <c r="H94">
        <v>0.57052066058687201</v>
      </c>
      <c r="I94">
        <v>0.69321327576684399</v>
      </c>
      <c r="J94">
        <v>-7.6570018492960497</v>
      </c>
      <c r="K94" t="s">
        <v>191</v>
      </c>
    </row>
    <row r="95" spans="1:11" ht="14.4" hidden="1" x14ac:dyDescent="0.3">
      <c r="A95">
        <v>94</v>
      </c>
      <c r="B95" t="s">
        <v>30</v>
      </c>
      <c r="E95">
        <v>-0.335553225116548</v>
      </c>
      <c r="F95">
        <v>-1.3500541676000499</v>
      </c>
      <c r="G95">
        <v>-0.51682646462598703</v>
      </c>
      <c r="H95">
        <v>0.62230349132299001</v>
      </c>
      <c r="I95">
        <v>0.74808823956912696</v>
      </c>
      <c r="J95">
        <v>-7.7061538102472502</v>
      </c>
      <c r="K95" t="s">
        <v>191</v>
      </c>
    </row>
    <row r="96" spans="1:11" ht="14.4" hidden="1" x14ac:dyDescent="0.3">
      <c r="A96">
        <v>95</v>
      </c>
      <c r="B96" t="s">
        <v>28</v>
      </c>
      <c r="E96">
        <v>0.18435589772363001</v>
      </c>
      <c r="F96">
        <v>-2.0438626814986698</v>
      </c>
      <c r="G96">
        <v>0.47788424403866597</v>
      </c>
      <c r="H96">
        <v>0.64830475208667204</v>
      </c>
      <c r="I96">
        <v>0.76636055939257697</v>
      </c>
      <c r="J96">
        <v>-7.7276377429580103</v>
      </c>
      <c r="K96" t="s">
        <v>191</v>
      </c>
    </row>
    <row r="97" spans="1:11" ht="14.4" hidden="1" x14ac:dyDescent="0.3">
      <c r="A97">
        <v>96</v>
      </c>
      <c r="B97" t="s">
        <v>97</v>
      </c>
      <c r="E97">
        <v>9.2562974407913307E-2</v>
      </c>
      <c r="F97">
        <v>-3.2916741050020901</v>
      </c>
      <c r="G97">
        <v>0.47379475216001499</v>
      </c>
      <c r="H97">
        <v>0.65106737789103897</v>
      </c>
      <c r="I97">
        <v>0.76636055939257697</v>
      </c>
      <c r="J97">
        <v>-7.7298030734773899</v>
      </c>
      <c r="K97" t="s">
        <v>191</v>
      </c>
    </row>
    <row r="98" spans="1:11" ht="14.4" hidden="1" x14ac:dyDescent="0.3">
      <c r="A98">
        <v>97</v>
      </c>
      <c r="B98" t="s">
        <v>120</v>
      </c>
      <c r="E98">
        <v>0.111339797440031</v>
      </c>
      <c r="F98">
        <v>-2.2506248098507902</v>
      </c>
      <c r="G98">
        <v>0.44405436807891902</v>
      </c>
      <c r="H98">
        <v>0.67133569853323805</v>
      </c>
      <c r="I98">
        <v>0.77398703262816604</v>
      </c>
      <c r="J98">
        <v>-7.7450256220762297</v>
      </c>
      <c r="K98" t="s">
        <v>191</v>
      </c>
    </row>
    <row r="99" spans="1:11" ht="14.4" hidden="1" x14ac:dyDescent="0.3">
      <c r="A99">
        <v>98</v>
      </c>
      <c r="B99" t="s">
        <v>73</v>
      </c>
      <c r="E99">
        <v>0.14251300041700499</v>
      </c>
      <c r="F99">
        <v>0.71976861958915195</v>
      </c>
      <c r="G99">
        <v>0.43277939459867998</v>
      </c>
      <c r="H99">
        <v>0.67909937200484405</v>
      </c>
      <c r="I99">
        <v>0.77398703262816604</v>
      </c>
      <c r="J99">
        <v>-7.7505540600333704</v>
      </c>
      <c r="K99" t="s">
        <v>191</v>
      </c>
    </row>
    <row r="100" spans="1:11" ht="14.4" hidden="1" x14ac:dyDescent="0.3">
      <c r="A100">
        <v>99</v>
      </c>
      <c r="B100" t="s">
        <v>105</v>
      </c>
      <c r="E100">
        <v>-0.48255038612218998</v>
      </c>
      <c r="F100">
        <v>1.3046927025433099</v>
      </c>
      <c r="G100">
        <v>-0.42646428715342499</v>
      </c>
      <c r="H100">
        <v>0.68346645770122805</v>
      </c>
      <c r="I100">
        <v>0.77398703262816604</v>
      </c>
      <c r="J100">
        <v>-7.7535918804113004</v>
      </c>
      <c r="K100" t="s">
        <v>191</v>
      </c>
    </row>
    <row r="101" spans="1:11" ht="14.4" hidden="1" x14ac:dyDescent="0.3">
      <c r="A101">
        <v>100</v>
      </c>
      <c r="B101" t="s">
        <v>98</v>
      </c>
      <c r="E101">
        <v>-0.246936777513419</v>
      </c>
      <c r="F101">
        <v>-0.92408796495957402</v>
      </c>
      <c r="G101">
        <v>-0.42433158563186402</v>
      </c>
      <c r="H101">
        <v>0.68494427666209401</v>
      </c>
      <c r="I101">
        <v>0.77398703262816604</v>
      </c>
      <c r="J101">
        <v>-7.7546082575502702</v>
      </c>
      <c r="K101" t="s">
        <v>191</v>
      </c>
    </row>
    <row r="102" spans="1:11" ht="14.4" hidden="1" x14ac:dyDescent="0.3">
      <c r="A102">
        <v>101</v>
      </c>
      <c r="B102" t="s">
        <v>112</v>
      </c>
      <c r="E102">
        <v>-0.119588904629434</v>
      </c>
      <c r="F102">
        <v>-2.46309380493109</v>
      </c>
      <c r="G102">
        <v>-0.324430056054267</v>
      </c>
      <c r="H102">
        <v>0.75575052165318501</v>
      </c>
      <c r="I102">
        <v>0.84554266283970203</v>
      </c>
      <c r="J102">
        <v>-7.7967495981747703</v>
      </c>
      <c r="K102" t="s">
        <v>191</v>
      </c>
    </row>
    <row r="103" spans="1:11" ht="14.4" hidden="1" x14ac:dyDescent="0.3">
      <c r="A103">
        <v>102</v>
      </c>
      <c r="B103" t="s">
        <v>133</v>
      </c>
      <c r="E103">
        <v>0.105526578532222</v>
      </c>
      <c r="F103">
        <v>-1.62608284822756</v>
      </c>
      <c r="G103">
        <v>0.28768150436248402</v>
      </c>
      <c r="H103">
        <v>0.78249995408974204</v>
      </c>
      <c r="I103">
        <v>0.86688720404059705</v>
      </c>
      <c r="J103">
        <v>-7.8095151701857697</v>
      </c>
      <c r="K103" t="s">
        <v>191</v>
      </c>
    </row>
    <row r="104" spans="1:11" ht="14.4" hidden="1" x14ac:dyDescent="0.3">
      <c r="A104">
        <v>103</v>
      </c>
      <c r="B104" t="s">
        <v>17</v>
      </c>
      <c r="E104">
        <v>-6.2940113849010201E-2</v>
      </c>
      <c r="F104">
        <v>-0.265816724160303</v>
      </c>
      <c r="G104">
        <v>-0.26109983692567201</v>
      </c>
      <c r="H104">
        <v>0.802052840738678</v>
      </c>
      <c r="I104">
        <v>0.87992204857738499</v>
      </c>
      <c r="J104">
        <v>-7.8178169127813204</v>
      </c>
      <c r="K104" t="s">
        <v>191</v>
      </c>
    </row>
    <row r="105" spans="1:11" ht="14.4" hidden="1" x14ac:dyDescent="0.3">
      <c r="A105">
        <v>104</v>
      </c>
      <c r="B105" t="s">
        <v>154</v>
      </c>
      <c r="E105">
        <v>-7.0800891214163206E-2</v>
      </c>
      <c r="F105">
        <v>-1.5015638440005501</v>
      </c>
      <c r="G105">
        <v>-0.20410678441428101</v>
      </c>
      <c r="H105">
        <v>0.84448100258746495</v>
      </c>
      <c r="I105">
        <v>0.91724792769628805</v>
      </c>
      <c r="J105">
        <v>-7.8329528900246697</v>
      </c>
      <c r="K105" t="s">
        <v>191</v>
      </c>
    </row>
    <row r="106" spans="1:11" ht="14.4" hidden="1" x14ac:dyDescent="0.3">
      <c r="A106">
        <v>105</v>
      </c>
      <c r="B106" t="s">
        <v>69</v>
      </c>
      <c r="E106">
        <v>0.119143220507216</v>
      </c>
      <c r="F106">
        <v>-3.13591155031849</v>
      </c>
      <c r="G106">
        <v>0.18293655976356801</v>
      </c>
      <c r="H106">
        <v>0.86039398961430003</v>
      </c>
      <c r="I106">
        <v>0.91724792769628805</v>
      </c>
      <c r="J106">
        <v>-7.8376429059656996</v>
      </c>
      <c r="K106" t="s">
        <v>191</v>
      </c>
    </row>
    <row r="107" spans="1:11" ht="14.4" hidden="1" x14ac:dyDescent="0.3">
      <c r="A107">
        <v>106</v>
      </c>
      <c r="B107" t="s">
        <v>31</v>
      </c>
      <c r="E107">
        <v>-3.0949814779769401E-2</v>
      </c>
      <c r="F107">
        <v>-1.31053529865982</v>
      </c>
      <c r="G107">
        <v>-0.182892400346786</v>
      </c>
      <c r="H107">
        <v>0.86042725960890798</v>
      </c>
      <c r="I107">
        <v>0.91724792769628805</v>
      </c>
      <c r="J107">
        <v>-7.8376521585360299</v>
      </c>
      <c r="K107" t="s">
        <v>191</v>
      </c>
    </row>
    <row r="108" spans="1:11" ht="14.4" hidden="1" x14ac:dyDescent="0.3">
      <c r="A108">
        <v>107</v>
      </c>
      <c r="B108" t="s">
        <v>20</v>
      </c>
      <c r="E108">
        <v>4.5511711400501302E-2</v>
      </c>
      <c r="F108">
        <v>2.92071746588273</v>
      </c>
      <c r="G108">
        <v>0.16822677772081901</v>
      </c>
      <c r="H108">
        <v>0.87149305290826695</v>
      </c>
      <c r="I108">
        <v>0.920361822230225</v>
      </c>
      <c r="J108">
        <v>-7.8406026010336101</v>
      </c>
      <c r="K108" t="s">
        <v>191</v>
      </c>
    </row>
    <row r="109" spans="1:11" ht="14.4" hidden="1" x14ac:dyDescent="0.3">
      <c r="A109">
        <v>108</v>
      </c>
      <c r="B109" t="s">
        <v>110</v>
      </c>
      <c r="E109">
        <v>6.65997173657812E-2</v>
      </c>
      <c r="F109">
        <v>-1.2436309829638501</v>
      </c>
      <c r="G109">
        <v>0.156167179006831</v>
      </c>
      <c r="H109">
        <v>0.88061613121200899</v>
      </c>
      <c r="I109">
        <v>0.92138539654589802</v>
      </c>
      <c r="J109">
        <v>-7.8428456460784499</v>
      </c>
      <c r="K109" t="s">
        <v>191</v>
      </c>
    </row>
    <row r="110" spans="1:11" ht="14.4" hidden="1" x14ac:dyDescent="0.3">
      <c r="A110">
        <v>109</v>
      </c>
      <c r="B110" t="s">
        <v>50</v>
      </c>
      <c r="E110">
        <v>-5.3172592925419697E-2</v>
      </c>
      <c r="F110">
        <v>-1.7791392095696099</v>
      </c>
      <c r="G110">
        <v>-9.8010336799334005E-2</v>
      </c>
      <c r="H110">
        <v>0.92486256444393899</v>
      </c>
      <c r="I110">
        <v>0.95880247506573502</v>
      </c>
      <c r="J110">
        <v>-7.8513333589897201</v>
      </c>
      <c r="K110" t="s">
        <v>191</v>
      </c>
    </row>
    <row r="111" spans="1:11" ht="14.4" hidden="1" x14ac:dyDescent="0.3">
      <c r="A111">
        <v>110</v>
      </c>
      <c r="B111" t="s">
        <v>10</v>
      </c>
      <c r="E111">
        <v>5.4006861413146798E-2</v>
      </c>
      <c r="F111">
        <v>-3.5699672040060899</v>
      </c>
      <c r="G111">
        <v>6.5264519103376301E-2</v>
      </c>
      <c r="H111">
        <v>0.94991506657265601</v>
      </c>
      <c r="I111">
        <v>0.97582184111554704</v>
      </c>
      <c r="J111">
        <v>-7.8544080146059798</v>
      </c>
      <c r="K111" t="s">
        <v>191</v>
      </c>
    </row>
    <row r="112" spans="1:11" ht="14.4" hidden="1" x14ac:dyDescent="0.3">
      <c r="A112">
        <v>111</v>
      </c>
      <c r="B112" t="s">
        <v>40</v>
      </c>
      <c r="E112">
        <v>9.9617437837071204E-3</v>
      </c>
      <c r="F112">
        <v>-2.5345629825406801</v>
      </c>
      <c r="G112">
        <v>4.7874051602942003E-2</v>
      </c>
      <c r="H112">
        <v>0.96324687916165697</v>
      </c>
      <c r="I112">
        <v>0.98060267878619201</v>
      </c>
      <c r="J112">
        <v>-7.8555401190942904</v>
      </c>
      <c r="K112" t="s">
        <v>191</v>
      </c>
    </row>
    <row r="113" spans="1:11" ht="14.4" hidden="1" x14ac:dyDescent="0.3">
      <c r="A113">
        <v>112</v>
      </c>
      <c r="B113" t="s">
        <v>14</v>
      </c>
      <c r="E113">
        <v>-2.04865970624457E-2</v>
      </c>
      <c r="F113">
        <v>-0.86495351222785199</v>
      </c>
      <c r="G113">
        <v>-3.6224060859548601E-2</v>
      </c>
      <c r="H113">
        <v>0.97218539429281003</v>
      </c>
      <c r="I113">
        <v>0.98086562102756703</v>
      </c>
      <c r="J113">
        <v>-7.8561039832068698</v>
      </c>
      <c r="K113" t="s">
        <v>191</v>
      </c>
    </row>
    <row r="114" spans="1:11" ht="14.4" hidden="1" x14ac:dyDescent="0.3">
      <c r="A114">
        <v>113</v>
      </c>
      <c r="B114" t="s">
        <v>128</v>
      </c>
      <c r="E114">
        <v>-2.08892587546968E-3</v>
      </c>
      <c r="F114">
        <v>1.1301455783530301</v>
      </c>
      <c r="G114">
        <v>-4.0694152769289596E-3</v>
      </c>
      <c r="H114">
        <v>0.99687452592742598</v>
      </c>
      <c r="I114">
        <v>0.99687452592742598</v>
      </c>
      <c r="J114">
        <v>-7.8568497736433596</v>
      </c>
      <c r="K114" t="s">
        <v>191</v>
      </c>
    </row>
  </sheetData>
  <autoFilter ref="A1:K114" xr:uid="{825A7B79-35EB-4CCF-99FB-5B514FDF562C}">
    <filterColumn colId="10">
      <filters>
        <filter val="Down en Corta"/>
        <filter val="Up en Corta"/>
      </filters>
    </filterColumn>
    <sortState xmlns:xlrd2="http://schemas.microsoft.com/office/spreadsheetml/2017/richdata2" ref="A2:K42">
      <sortCondition ref="K1:K11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35EA-A84B-4EAB-9753-0D87294EF308}">
  <dimension ref="A1:M54"/>
  <sheetViews>
    <sheetView workbookViewId="0">
      <selection activeCell="A37" sqref="A37"/>
    </sheetView>
  </sheetViews>
  <sheetFormatPr baseColWidth="10" defaultColWidth="11.44140625" defaultRowHeight="14.4" x14ac:dyDescent="0.3"/>
  <cols>
    <col min="1" max="1" width="13" style="17" customWidth="1"/>
    <col min="2" max="2" width="15.88671875" style="17" customWidth="1"/>
    <col min="3" max="3" width="11.5546875" style="17"/>
    <col min="4" max="4" width="12.5546875" bestFit="1" customWidth="1"/>
    <col min="5" max="5" width="13.33203125" bestFit="1" customWidth="1"/>
    <col min="13" max="13" width="22.5546875" customWidth="1"/>
  </cols>
  <sheetData>
    <row r="1" spans="1:13" x14ac:dyDescent="0.3">
      <c r="A1" s="11" t="s">
        <v>0</v>
      </c>
      <c r="B1" s="14" t="s">
        <v>181</v>
      </c>
      <c r="C1" s="14" t="s">
        <v>182</v>
      </c>
    </row>
    <row r="2" spans="1:13" x14ac:dyDescent="0.3">
      <c r="A2" s="16" t="s">
        <v>109</v>
      </c>
      <c r="B2" s="17" t="str">
        <f>VLOOKUP(A2,'Uniprot-API'!$A$1:$D$165,2,)</f>
        <v>MPO</v>
      </c>
      <c r="C2" s="17" t="s">
        <v>1133</v>
      </c>
      <c r="L2" s="6">
        <v>1</v>
      </c>
      <c r="M2" s="7" t="s">
        <v>197</v>
      </c>
    </row>
    <row r="3" spans="1:13" x14ac:dyDescent="0.3">
      <c r="A3" s="16" t="s">
        <v>100</v>
      </c>
      <c r="B3" s="17" t="str">
        <f>VLOOKUP(A3,'Uniprot-API'!$A$1:$D$165,2,)</f>
        <v>FN1</v>
      </c>
      <c r="C3" s="17" t="str">
        <f>VLOOKUP(A3,'BiomaRt Ensembl'!$A$1:$F$327,2,)</f>
        <v>FN1</v>
      </c>
      <c r="L3" s="8">
        <v>4</v>
      </c>
      <c r="M3" s="7" t="s">
        <v>198</v>
      </c>
    </row>
    <row r="4" spans="1:13" x14ac:dyDescent="0.3">
      <c r="A4" s="16" t="s">
        <v>169</v>
      </c>
      <c r="B4" s="17" t="str">
        <f>VLOOKUP(A4,'Uniprot-API'!$A$1:$D$165,2,)</f>
        <v>CYCS</v>
      </c>
      <c r="C4" s="17" t="str">
        <f>VLOOKUP(A4,'BiomaRt Ensembl'!$A$1:$F$327,2,)</f>
        <v>CYCS</v>
      </c>
      <c r="L4" s="9">
        <v>3</v>
      </c>
      <c r="M4" s="7" t="s">
        <v>199</v>
      </c>
    </row>
    <row r="5" spans="1:13" x14ac:dyDescent="0.3">
      <c r="A5" s="18" t="s">
        <v>118</v>
      </c>
      <c r="B5" s="17" t="str">
        <f>VLOOKUP(A5,'Uniprot-API'!$A$1:$D$165,2,)</f>
        <v>PSMB1</v>
      </c>
      <c r="C5" s="17" t="str">
        <f>VLOOKUP(A5,'BiomaRt Ensembl'!$A$1:$F$327,2,)</f>
        <v>PSMB1</v>
      </c>
      <c r="L5" s="10">
        <v>2</v>
      </c>
      <c r="M5" s="7" t="s">
        <v>200</v>
      </c>
    </row>
    <row r="6" spans="1:13" x14ac:dyDescent="0.3">
      <c r="A6" s="19" t="s">
        <v>101</v>
      </c>
      <c r="B6" s="17" t="str">
        <f>VLOOKUP(A6,'Uniprot-API'!$A$1:$D$165,2,)</f>
        <v>ALDOA</v>
      </c>
      <c r="C6" s="17" t="e">
        <f>VLOOKUP(A6,'BiomaRt Ensembl'!$A$1:$F$327,2,)</f>
        <v>#N/A</v>
      </c>
      <c r="L6" s="11">
        <v>18</v>
      </c>
      <c r="M6" s="7" t="s">
        <v>201</v>
      </c>
    </row>
    <row r="7" spans="1:13" x14ac:dyDescent="0.3">
      <c r="A7" s="19" t="s">
        <v>26</v>
      </c>
      <c r="B7" s="17" t="str">
        <f>VLOOKUP(A7,'Uniprot-API'!$A$1:$D$165,2,)</f>
        <v>C3</v>
      </c>
      <c r="C7" s="17" t="e">
        <f>VLOOKUP(A7,'BiomaRt Ensembl'!$A$1:$F$327,2,)</f>
        <v>#N/A</v>
      </c>
      <c r="L7" s="12">
        <v>15</v>
      </c>
      <c r="M7" s="7" t="s">
        <v>202</v>
      </c>
    </row>
    <row r="8" spans="1:13" x14ac:dyDescent="0.3">
      <c r="A8" s="19" t="s">
        <v>71</v>
      </c>
      <c r="B8" s="17">
        <f>VLOOKUP(A8,'Uniprot-API'!$A$1:$D$165,2,)</f>
        <v>0</v>
      </c>
      <c r="C8" s="17" t="e">
        <f>VLOOKUP(A8,'BiomaRt Ensembl'!$A$1:$F$327,2,)</f>
        <v>#N/A</v>
      </c>
      <c r="L8" s="13">
        <v>10</v>
      </c>
      <c r="M8" s="7" t="s">
        <v>203</v>
      </c>
    </row>
    <row r="9" spans="1:13" x14ac:dyDescent="0.3">
      <c r="A9" s="19" t="s">
        <v>56</v>
      </c>
      <c r="B9" s="17" t="str">
        <f>VLOOKUP(A9,'Uniprot-API'!$A$1:$D$165,2,)</f>
        <v>SOD2</v>
      </c>
      <c r="C9" s="17" t="str">
        <f>VLOOKUP(A9,'BiomaRt Ensembl'!$A$1:$F$327,2,)</f>
        <v>SOD2</v>
      </c>
      <c r="L9" s="14">
        <f>SUM(L2:L8)</f>
        <v>53</v>
      </c>
      <c r="M9" s="15" t="s">
        <v>204</v>
      </c>
    </row>
    <row r="10" spans="1:13" x14ac:dyDescent="0.3">
      <c r="A10" s="20" t="s">
        <v>104</v>
      </c>
      <c r="B10" s="17" t="str">
        <f>VLOOKUP(A10,'Uniprot-API'!$A$1:$D$165,2,)</f>
        <v>GALK1</v>
      </c>
      <c r="C10" s="17" t="str">
        <f>VLOOKUP(A10,'BiomaRt Ensembl'!$A$1:$F$327,2,)</f>
        <v>H3-3A</v>
      </c>
      <c r="L10" s="14">
        <f>SUM(L2:L5)</f>
        <v>10</v>
      </c>
      <c r="M10" s="15" t="s">
        <v>205</v>
      </c>
    </row>
    <row r="11" spans="1:13" x14ac:dyDescent="0.3">
      <c r="A11" s="20" t="s">
        <v>103</v>
      </c>
      <c r="B11" s="17" t="str">
        <f>VLOOKUP(A11,'Uniprot-API'!$A$1:$D$165,2,)</f>
        <v>H2BC26</v>
      </c>
      <c r="C11" s="17" t="e">
        <f>VLOOKUP(A11,'BiomaRt Ensembl'!$A$1:$F$327,2,)</f>
        <v>#N/A</v>
      </c>
    </row>
    <row r="12" spans="1:13" x14ac:dyDescent="0.3">
      <c r="A12" s="21" t="s">
        <v>42</v>
      </c>
      <c r="B12" s="17" t="str">
        <f>VLOOKUP(A12,'Uniprot-API'!$A$1:$D$165,2,)</f>
        <v>CANT1</v>
      </c>
      <c r="C12" s="17" t="e">
        <f>VLOOKUP(A12,'BiomaRt Ensembl'!$A$1:$F$327,2,)</f>
        <v>#N/A</v>
      </c>
    </row>
    <row r="13" spans="1:13" x14ac:dyDescent="0.3">
      <c r="A13" s="21" t="s">
        <v>40</v>
      </c>
      <c r="B13" s="17" t="str">
        <f>VLOOKUP(A13,'Uniprot-API'!$A$1:$D$165,2,)</f>
        <v>SERPINA5</v>
      </c>
      <c r="C13" s="17" t="str">
        <f>VLOOKUP(A13,'BiomaRt Ensembl'!$A$1:$F$327,2,)</f>
        <v>SERPINA5</v>
      </c>
    </row>
    <row r="14" spans="1:13" x14ac:dyDescent="0.3">
      <c r="A14" s="21" t="s">
        <v>154</v>
      </c>
      <c r="B14" s="17" t="str">
        <f>VLOOKUP(A14,'Uniprot-API'!$A$1:$D$165,2,)</f>
        <v>SERPINB1</v>
      </c>
      <c r="C14" s="17" t="str">
        <f>VLOOKUP(A14,'BiomaRt Ensembl'!$A$1:$F$327,2,)</f>
        <v>SERPINB1</v>
      </c>
    </row>
    <row r="15" spans="1:13" x14ac:dyDescent="0.3">
      <c r="A15" s="21" t="s">
        <v>12</v>
      </c>
      <c r="B15" s="17" t="str">
        <f>VLOOKUP(A15,'Uniprot-API'!$A$1:$D$165,2,)</f>
        <v>DHODH</v>
      </c>
      <c r="C15" s="17" t="str">
        <f>VLOOKUP(A15,'BiomaRt Ensembl'!$A$1:$F$327,2,)</f>
        <v>DHODH</v>
      </c>
    </row>
    <row r="16" spans="1:13" x14ac:dyDescent="0.3">
      <c r="A16" s="21" t="s">
        <v>110</v>
      </c>
      <c r="B16" s="17" t="str">
        <f>VLOOKUP(A16,'Uniprot-API'!$A$1:$D$165,2,)</f>
        <v>NPM1</v>
      </c>
      <c r="C16" s="17" t="str">
        <f>VLOOKUP(A16,'BiomaRt Ensembl'!$A$1:$F$327,2,)</f>
        <v>NPM1</v>
      </c>
    </row>
    <row r="17" spans="1:3" x14ac:dyDescent="0.3">
      <c r="A17" s="21" t="s">
        <v>166</v>
      </c>
      <c r="B17" s="17" t="str">
        <f>VLOOKUP(A17,'Uniprot-API'!$A$1:$D$165,2,)</f>
        <v>PGAM1</v>
      </c>
      <c r="C17" s="17" t="str">
        <f>VLOOKUP(A17,'BiomaRt Ensembl'!$A$1:$F$327,2,)</f>
        <v>PGAM1</v>
      </c>
    </row>
    <row r="18" spans="1:3" x14ac:dyDescent="0.3">
      <c r="A18" s="21" t="s">
        <v>9</v>
      </c>
      <c r="B18" s="17" t="str">
        <f>VLOOKUP(A18,'Uniprot-API'!$A$1:$D$165,2,)</f>
        <v>ALB</v>
      </c>
      <c r="C18" s="17" t="e">
        <f>VLOOKUP(A18,'BiomaRt Ensembl'!$A$1:$F$327,2,)</f>
        <v>#N/A</v>
      </c>
    </row>
    <row r="19" spans="1:3" x14ac:dyDescent="0.3">
      <c r="A19" s="21" t="s">
        <v>158</v>
      </c>
      <c r="B19" s="17" t="str">
        <f>VLOOKUP(A19,'Uniprot-API'!$A$1:$D$165,2,)</f>
        <v>RRBP1</v>
      </c>
      <c r="C19" s="17" t="str">
        <f>VLOOKUP(A19,'BiomaRt Ensembl'!$A$1:$F$327,2,)</f>
        <v>RRBP1</v>
      </c>
    </row>
    <row r="20" spans="1:3" x14ac:dyDescent="0.3">
      <c r="A20" s="21" t="s">
        <v>48</v>
      </c>
      <c r="B20" s="17" t="str">
        <f>VLOOKUP(A20,'Uniprot-API'!$A$1:$D$165,2,)</f>
        <v>DPYSL2</v>
      </c>
      <c r="C20" s="17" t="str">
        <f>VLOOKUP(A20,'BiomaRt Ensembl'!$A$1:$F$327,2,)</f>
        <v>DPYSL2</v>
      </c>
    </row>
    <row r="21" spans="1:3" x14ac:dyDescent="0.3">
      <c r="A21" s="21" t="s">
        <v>86</v>
      </c>
      <c r="B21" s="17" t="str">
        <f>VLOOKUP(A21,'Uniprot-API'!$A$1:$D$165,2,)</f>
        <v>VCL</v>
      </c>
      <c r="C21" s="17" t="str">
        <f>VLOOKUP(A21,'BiomaRt Ensembl'!$A$1:$F$327,2,)</f>
        <v>VCL</v>
      </c>
    </row>
    <row r="22" spans="1:3" x14ac:dyDescent="0.3">
      <c r="A22" s="22" t="s">
        <v>167</v>
      </c>
      <c r="B22" s="17" t="str">
        <f>VLOOKUP(A22,'Uniprot-API'!$A$1:$D$165,2,)</f>
        <v>PSMB3</v>
      </c>
      <c r="C22" s="17" t="str">
        <f>VLOOKUP(A22,'BiomaRt Ensembl'!$A$1:$F$327,2,)</f>
        <v>PSMB3</v>
      </c>
    </row>
    <row r="23" spans="1:3" x14ac:dyDescent="0.3">
      <c r="A23" s="22" t="s">
        <v>29</v>
      </c>
      <c r="B23" s="17" t="str">
        <f>VLOOKUP(A23,'Uniprot-API'!$A$1:$D$165,2,)</f>
        <v>APOA4</v>
      </c>
      <c r="C23" s="17" t="e">
        <f>VLOOKUP(A23,'BiomaRt Ensembl'!$A$1:$F$327,2,)</f>
        <v>#N/A</v>
      </c>
    </row>
    <row r="24" spans="1:3" x14ac:dyDescent="0.3">
      <c r="A24" s="22" t="s">
        <v>160</v>
      </c>
      <c r="B24" s="17" t="str">
        <f>VLOOKUP(A24,'Uniprot-API'!$A$1:$D$165,2,)</f>
        <v>TUBB</v>
      </c>
      <c r="C24" s="17" t="str">
        <f>VLOOKUP(A24,'BiomaRt Ensembl'!$A$1:$F$327,2,)</f>
        <v>TUBB</v>
      </c>
    </row>
    <row r="25" spans="1:3" x14ac:dyDescent="0.3">
      <c r="A25" s="22" t="s">
        <v>162</v>
      </c>
      <c r="B25" s="17" t="str">
        <f>VLOOKUP(A25,'Uniprot-API'!$A$1:$D$165,2,)</f>
        <v>ACAN</v>
      </c>
      <c r="C25" s="17" t="str">
        <f>VLOOKUP(A25,'BiomaRt Ensembl'!$A$1:$F$327,2,)</f>
        <v>ACAN</v>
      </c>
    </row>
    <row r="26" spans="1:3" x14ac:dyDescent="0.3">
      <c r="A26" s="22" t="s">
        <v>136</v>
      </c>
      <c r="B26" s="17" t="str">
        <f>VLOOKUP(A26,'Uniprot-API'!$A$1:$D$165,2,)</f>
        <v>COL6A3</v>
      </c>
      <c r="C26" s="17" t="str">
        <f>VLOOKUP(A26,'BiomaRt Ensembl'!$A$1:$F$327,2,)</f>
        <v>COL6A3</v>
      </c>
    </row>
    <row r="27" spans="1:3" x14ac:dyDescent="0.3">
      <c r="A27" s="22" t="s">
        <v>38</v>
      </c>
      <c r="B27" s="17" t="str">
        <f>VLOOKUP(A27,'Uniprot-API'!$A$1:$D$165,2,)</f>
        <v>PRDX2</v>
      </c>
      <c r="C27" s="17" t="str">
        <f>VLOOKUP(A27,'BiomaRt Ensembl'!$A$1:$F$327,2,)</f>
        <v>PRDX2</v>
      </c>
    </row>
    <row r="28" spans="1:3" x14ac:dyDescent="0.3">
      <c r="A28" s="22" t="s">
        <v>58</v>
      </c>
      <c r="B28" s="17" t="str">
        <f>VLOOKUP(A28,'Uniprot-API'!$A$1:$D$165,2,)</f>
        <v>LMNA</v>
      </c>
      <c r="C28" s="17" t="str">
        <f>VLOOKUP(A28,'BiomaRt Ensembl'!$A$1:$F$327,2,)</f>
        <v>LMNA</v>
      </c>
    </row>
    <row r="29" spans="1:3" x14ac:dyDescent="0.3">
      <c r="A29" s="22" t="s">
        <v>157</v>
      </c>
      <c r="B29" s="17" t="str">
        <f>VLOOKUP(A29,'Uniprot-API'!$A$1:$D$165,2,)</f>
        <v>DHODH</v>
      </c>
      <c r="C29" s="17" t="str">
        <f>VLOOKUP(A29,'BiomaRt Ensembl'!$A$1:$F$327,2,)</f>
        <v>DHODH</v>
      </c>
    </row>
    <row r="30" spans="1:3" x14ac:dyDescent="0.3">
      <c r="A30" s="22" t="s">
        <v>156</v>
      </c>
      <c r="B30" s="17" t="str">
        <f>VLOOKUP(A30,'Uniprot-API'!$A$1:$D$165,2,)</f>
        <v>MAP4</v>
      </c>
      <c r="C30" s="17" t="str">
        <f>VLOOKUP(A30,'BiomaRt Ensembl'!$A$1:$F$327,2,)</f>
        <v>MAP4</v>
      </c>
    </row>
    <row r="31" spans="1:3" x14ac:dyDescent="0.3">
      <c r="A31" s="22" t="s">
        <v>138</v>
      </c>
      <c r="B31" s="17" t="str">
        <f>VLOOKUP(A31,'Uniprot-API'!$A$1:$D$165,2,)</f>
        <v>ITIH4</v>
      </c>
      <c r="C31" s="17" t="e">
        <f>VLOOKUP(A31,'BiomaRt Ensembl'!$A$1:$F$327,2,)</f>
        <v>#N/A</v>
      </c>
    </row>
    <row r="32" spans="1:3" x14ac:dyDescent="0.3">
      <c r="A32" s="22" t="s">
        <v>99</v>
      </c>
      <c r="B32" s="17" t="str">
        <f>VLOOKUP(A32,'Uniprot-API'!$A$1:$D$165,2,)</f>
        <v>YBX1</v>
      </c>
      <c r="C32" s="17" t="str">
        <f>VLOOKUP(A32,'BiomaRt Ensembl'!$A$1:$F$327,2,)</f>
        <v>YBX1</v>
      </c>
    </row>
    <row r="33" spans="1:3" x14ac:dyDescent="0.3">
      <c r="A33" s="22" t="s">
        <v>67</v>
      </c>
      <c r="B33" s="17" t="str">
        <f>VLOOKUP(A33,'Uniprot-API'!$A$1:$D$165,2,)</f>
        <v>RBP4</v>
      </c>
      <c r="C33" s="17" t="str">
        <f>VLOOKUP(A33,'BiomaRt Ensembl'!$A$1:$F$327,2,)</f>
        <v>RBP4</v>
      </c>
    </row>
    <row r="34" spans="1:3" x14ac:dyDescent="0.3">
      <c r="A34" s="22" t="s">
        <v>170</v>
      </c>
      <c r="B34" s="17" t="str">
        <f>VLOOKUP(A34,'Uniprot-API'!$A$1:$D$165,2,)</f>
        <v>NUCB1</v>
      </c>
      <c r="C34" s="17" t="str">
        <f>VLOOKUP(A34,'BiomaRt Ensembl'!$A$1:$F$327,2,)</f>
        <v>NUCB1</v>
      </c>
    </row>
    <row r="35" spans="1:3" x14ac:dyDescent="0.3">
      <c r="A35" s="22" t="s">
        <v>22</v>
      </c>
      <c r="B35" s="17" t="str">
        <f>VLOOKUP(A35,'Uniprot-API'!$A$1:$D$165,2,)</f>
        <v>TPM4</v>
      </c>
      <c r="C35" s="17" t="str">
        <f>VLOOKUP(A35,'BiomaRt Ensembl'!$A$1:$F$327,2,)</f>
        <v>RAB8A</v>
      </c>
    </row>
    <row r="36" spans="1:3" x14ac:dyDescent="0.3">
      <c r="A36" s="22" t="s">
        <v>19</v>
      </c>
      <c r="B36" s="17" t="str">
        <f>VLOOKUP(A36,'Uniprot-API'!$A$1:$D$165,2,)</f>
        <v>RRBP1</v>
      </c>
      <c r="C36" s="17" t="str">
        <f>VLOOKUP(A36,'BiomaRt Ensembl'!$A$1:$F$327,2,)</f>
        <v>RRBP1</v>
      </c>
    </row>
    <row r="37" spans="1:3" x14ac:dyDescent="0.3">
      <c r="A37" s="23" t="s">
        <v>32</v>
      </c>
      <c r="B37" s="17">
        <f>VLOOKUP(A37,'Uniprot-API'!$A$1:$D$165,2,)</f>
        <v>0</v>
      </c>
      <c r="C37" s="17">
        <f>VLOOKUP(A37,'BiomaRt Ensembl'!$A$1:$F$327,2,)</f>
        <v>0</v>
      </c>
    </row>
    <row r="38" spans="1:3" x14ac:dyDescent="0.3">
      <c r="A38" s="23" t="s">
        <v>172</v>
      </c>
      <c r="B38" s="17" t="str">
        <f>VLOOKUP(A38,'Uniprot-API'!$A$1:$D$165,2,)</f>
        <v>NME2</v>
      </c>
      <c r="C38" s="17" t="str">
        <f>VLOOKUP(A38,'BiomaRt Ensembl'!$A$1:$F$327,2,)</f>
        <v>NME2</v>
      </c>
    </row>
    <row r="39" spans="1:3" x14ac:dyDescent="0.3">
      <c r="A39" s="23" t="s">
        <v>125</v>
      </c>
      <c r="B39" s="17" t="str">
        <f>VLOOKUP(A39,'Uniprot-API'!$A$1:$D$165,2,)</f>
        <v>TALDO1</v>
      </c>
      <c r="C39" s="17" t="str">
        <f>VLOOKUP(A39,'BiomaRt Ensembl'!$A$1:$F$327,2,)</f>
        <v>TALDO1</v>
      </c>
    </row>
    <row r="40" spans="1:3" x14ac:dyDescent="0.3">
      <c r="A40" s="23" t="s">
        <v>152</v>
      </c>
      <c r="B40" s="17" t="str">
        <f>VLOOKUP(A40,'Uniprot-API'!$A$1:$D$165,2,)</f>
        <v>KRT75</v>
      </c>
      <c r="C40" s="17" t="e">
        <f>VLOOKUP(A40,'BiomaRt Ensembl'!$A$1:$F$327,2,)</f>
        <v>#N/A</v>
      </c>
    </row>
    <row r="41" spans="1:3" x14ac:dyDescent="0.3">
      <c r="A41" s="23" t="s">
        <v>127</v>
      </c>
      <c r="B41" s="17" t="str">
        <f>VLOOKUP(A41,'Uniprot-API'!$A$1:$D$165,2,)</f>
        <v>TPI1</v>
      </c>
      <c r="C41" s="17" t="str">
        <f>VLOOKUP(A41,'BiomaRt Ensembl'!$A$1:$F$327,2,)</f>
        <v>TPI1</v>
      </c>
    </row>
    <row r="42" spans="1:3" x14ac:dyDescent="0.3">
      <c r="A42" s="23" t="s">
        <v>82</v>
      </c>
      <c r="B42" s="17" t="str">
        <f>VLOOKUP(A42,'Uniprot-API'!$A$1:$D$165,2,)</f>
        <v>COQ10B</v>
      </c>
      <c r="C42" s="17" t="str">
        <f>VLOOKUP(A42,'BiomaRt Ensembl'!$A$1:$F$327,2,)</f>
        <v>COQ10B</v>
      </c>
    </row>
    <row r="43" spans="1:3" x14ac:dyDescent="0.3">
      <c r="A43" s="23" t="s">
        <v>148</v>
      </c>
      <c r="B43" s="17" t="str">
        <f>VLOOKUP(A43,'Uniprot-API'!$A$1:$D$165,2,)</f>
        <v>APOH</v>
      </c>
      <c r="C43" s="17" t="str">
        <f>VLOOKUP(A43,'BiomaRt Ensembl'!$A$1:$F$327,2,)</f>
        <v>APOH</v>
      </c>
    </row>
    <row r="44" spans="1:3" x14ac:dyDescent="0.3">
      <c r="A44" s="23" t="s">
        <v>61</v>
      </c>
      <c r="B44" s="17" t="str">
        <f>VLOOKUP(A44,'Uniprot-API'!$A$1:$D$165,2,)</f>
        <v>LGALS7B</v>
      </c>
      <c r="C44" s="17" t="str">
        <f>VLOOKUP(A44,'BiomaRt Ensembl'!$A$1:$F$327,2,)</f>
        <v>ACTN4</v>
      </c>
    </row>
    <row r="45" spans="1:3" x14ac:dyDescent="0.3">
      <c r="A45" s="23" t="s">
        <v>93</v>
      </c>
      <c r="B45" s="17" t="str">
        <f>VLOOKUP(A45,'Uniprot-API'!$A$1:$D$165,2,)</f>
        <v>ANXA2</v>
      </c>
      <c r="C45" s="17" t="str">
        <f>VLOOKUP(A45,'BiomaRt Ensembl'!$A$1:$F$327,2,)</f>
        <v>ANXA2</v>
      </c>
    </row>
    <row r="46" spans="1:3" x14ac:dyDescent="0.3">
      <c r="A46" s="23" t="s">
        <v>114</v>
      </c>
      <c r="B46" s="17" t="str">
        <f>VLOOKUP(A46,'Uniprot-API'!$A$1:$D$165,2,)</f>
        <v>ENO1</v>
      </c>
      <c r="C46" s="17" t="str">
        <f>VLOOKUP(A46,'BiomaRt Ensembl'!$A$1:$F$327,2,)</f>
        <v>ENO1</v>
      </c>
    </row>
    <row r="47" spans="1:3" x14ac:dyDescent="0.3">
      <c r="A47" s="23" t="s">
        <v>87</v>
      </c>
      <c r="B47" s="17" t="str">
        <f>VLOOKUP(A47,'Uniprot-API'!$A$1:$D$165,2,)</f>
        <v>LOC100855903</v>
      </c>
      <c r="C47" s="17" t="e">
        <f>VLOOKUP(A47,'BiomaRt Ensembl'!$A$1:$F$327,2,)</f>
        <v>#N/A</v>
      </c>
    </row>
    <row r="48" spans="1:3" x14ac:dyDescent="0.3">
      <c r="A48" s="23" t="s">
        <v>95</v>
      </c>
      <c r="B48" s="17">
        <f>VLOOKUP(A48,'Uniprot-API'!$A$1:$D$165,2,)</f>
        <v>0</v>
      </c>
      <c r="C48" s="17" t="e">
        <f>VLOOKUP(A48,'BiomaRt Ensembl'!$A$1:$F$327,2,)</f>
        <v>#N/A</v>
      </c>
    </row>
    <row r="49" spans="1:3" x14ac:dyDescent="0.3">
      <c r="A49" s="23" t="s">
        <v>126</v>
      </c>
      <c r="B49" s="17" t="str">
        <f>VLOOKUP(A49,'Uniprot-API'!$A$1:$D$165,2,)</f>
        <v>VCP</v>
      </c>
      <c r="C49" s="17" t="str">
        <f>VLOOKUP(A49,'BiomaRt Ensembl'!$A$1:$F$327,2,)</f>
        <v>VCP</v>
      </c>
    </row>
    <row r="50" spans="1:3" x14ac:dyDescent="0.3">
      <c r="A50" s="23" t="s">
        <v>147</v>
      </c>
      <c r="B50" s="17">
        <f>VLOOKUP(A50,'Uniprot-API'!$A$1:$D$165,2,)</f>
        <v>0</v>
      </c>
      <c r="C50" s="17" t="e">
        <f>VLOOKUP(A50,'BiomaRt Ensembl'!$A$1:$F$327,2,)</f>
        <v>#N/A</v>
      </c>
    </row>
    <row r="51" spans="1:3" x14ac:dyDescent="0.3">
      <c r="A51" s="23" t="s">
        <v>66</v>
      </c>
      <c r="B51" s="17" t="str">
        <f>VLOOKUP(A51,'Uniprot-API'!$A$1:$D$165,2,)</f>
        <v>CALD1</v>
      </c>
      <c r="C51" s="17" t="str">
        <f>VLOOKUP(A51,'BiomaRt Ensembl'!$A$1:$F$327,2,)</f>
        <v>CALD1</v>
      </c>
    </row>
    <row r="52" spans="1:3" x14ac:dyDescent="0.3">
      <c r="A52" s="23" t="s">
        <v>83</v>
      </c>
      <c r="B52" s="17" t="str">
        <f>VLOOKUP(A52,'Uniprot-API'!$A$1:$D$165,2,)</f>
        <v>FUBP1</v>
      </c>
      <c r="C52" s="17" t="str">
        <f>VLOOKUP(A52,'BiomaRt Ensembl'!$A$1:$F$327,2,)</f>
        <v>FUBP1</v>
      </c>
    </row>
    <row r="53" spans="1:3" x14ac:dyDescent="0.3">
      <c r="A53" s="23" t="s">
        <v>153</v>
      </c>
      <c r="B53" s="17" t="str">
        <f>VLOOKUP(A53,'Uniprot-API'!$A$1:$D$165,2,)</f>
        <v>NES</v>
      </c>
      <c r="C53" s="17" t="e">
        <f>VLOOKUP(A53,'BiomaRt Ensembl'!$A$1:$F$327,2,)</f>
        <v>#N/A</v>
      </c>
    </row>
    <row r="54" spans="1:3" x14ac:dyDescent="0.3">
      <c r="A54" s="23" t="s">
        <v>49</v>
      </c>
      <c r="B54" s="17" t="str">
        <f>VLOOKUP(A54,'Uniprot-API'!$A$1:$D$165,2,)</f>
        <v>DCN</v>
      </c>
      <c r="C54" s="17" t="str">
        <f>VLOOKUP(A54,'BiomaRt Ensembl'!$A$1:$F$327,2,)</f>
        <v>DCN</v>
      </c>
    </row>
  </sheetData>
  <autoFilter ref="A1:A54" xr:uid="{635E35EA-A84B-4EAB-9753-0D87294EF308}">
    <sortState xmlns:xlrd2="http://schemas.microsoft.com/office/spreadsheetml/2017/richdata2" ref="A2:A54">
      <sortCondition sortBy="cellColor" ref="A1:A54" dxfId="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058C-75CC-45B7-B443-6D058944A471}">
  <dimension ref="A1:D165"/>
  <sheetViews>
    <sheetView topLeftCell="A7" workbookViewId="0">
      <selection activeCell="A8" sqref="A8"/>
    </sheetView>
  </sheetViews>
  <sheetFormatPr baseColWidth="10" defaultColWidth="11.44140625" defaultRowHeight="14.4" x14ac:dyDescent="0.3"/>
  <cols>
    <col min="1" max="1" width="12.5546875" bestFit="1" customWidth="1"/>
    <col min="2" max="2" width="13.33203125" bestFit="1" customWidth="1"/>
    <col min="3" max="3" width="21" bestFit="1" customWidth="1"/>
    <col min="4" max="4" width="47.44140625" bestFit="1" customWidth="1"/>
  </cols>
  <sheetData>
    <row r="1" spans="1:4" x14ac:dyDescent="0.3">
      <c r="A1" s="5" t="s">
        <v>0</v>
      </c>
      <c r="B1" s="5" t="s">
        <v>206</v>
      </c>
      <c r="C1" s="5" t="s">
        <v>182</v>
      </c>
      <c r="D1" s="5" t="s">
        <v>207</v>
      </c>
    </row>
    <row r="2" spans="1:4" x14ac:dyDescent="0.3">
      <c r="A2" t="s">
        <v>147</v>
      </c>
      <c r="C2" t="s">
        <v>208</v>
      </c>
      <c r="D2" t="s">
        <v>209</v>
      </c>
    </row>
    <row r="3" spans="1:4" x14ac:dyDescent="0.3">
      <c r="A3" t="s">
        <v>66</v>
      </c>
      <c r="B3" t="s">
        <v>210</v>
      </c>
      <c r="C3" t="s">
        <v>211</v>
      </c>
    </row>
    <row r="4" spans="1:4" x14ac:dyDescent="0.3">
      <c r="A4" t="s">
        <v>101</v>
      </c>
      <c r="B4" t="s">
        <v>212</v>
      </c>
      <c r="C4" t="s">
        <v>213</v>
      </c>
      <c r="D4" t="s">
        <v>214</v>
      </c>
    </row>
    <row r="5" spans="1:4" x14ac:dyDescent="0.3">
      <c r="A5" t="s">
        <v>71</v>
      </c>
      <c r="C5" t="s">
        <v>215</v>
      </c>
      <c r="D5" t="s">
        <v>209</v>
      </c>
    </row>
    <row r="6" spans="1:4" x14ac:dyDescent="0.3">
      <c r="A6" t="s">
        <v>32</v>
      </c>
    </row>
    <row r="7" spans="1:4" x14ac:dyDescent="0.3">
      <c r="A7" t="s">
        <v>26</v>
      </c>
      <c r="B7" t="s">
        <v>216</v>
      </c>
      <c r="C7" t="s">
        <v>217</v>
      </c>
      <c r="D7" t="s">
        <v>218</v>
      </c>
    </row>
    <row r="8" spans="1:4" x14ac:dyDescent="0.3">
      <c r="A8" t="s">
        <v>172</v>
      </c>
      <c r="B8" t="s">
        <v>219</v>
      </c>
      <c r="C8" t="s">
        <v>220</v>
      </c>
      <c r="D8" t="s">
        <v>221</v>
      </c>
    </row>
    <row r="9" spans="1:4" x14ac:dyDescent="0.3">
      <c r="A9" t="s">
        <v>125</v>
      </c>
      <c r="B9" t="s">
        <v>222</v>
      </c>
      <c r="C9" t="s">
        <v>223</v>
      </c>
      <c r="D9" t="s">
        <v>224</v>
      </c>
    </row>
    <row r="10" spans="1:4" x14ac:dyDescent="0.3">
      <c r="A10" t="s">
        <v>104</v>
      </c>
      <c r="B10" t="s">
        <v>225</v>
      </c>
      <c r="C10" t="s">
        <v>226</v>
      </c>
      <c r="D10" t="s">
        <v>227</v>
      </c>
    </row>
    <row r="11" spans="1:4" x14ac:dyDescent="0.3">
      <c r="A11" t="s">
        <v>152</v>
      </c>
      <c r="B11" t="s">
        <v>228</v>
      </c>
      <c r="C11" t="s">
        <v>229</v>
      </c>
    </row>
    <row r="12" spans="1:4" x14ac:dyDescent="0.3">
      <c r="A12" t="s">
        <v>83</v>
      </c>
      <c r="B12" t="s">
        <v>230</v>
      </c>
      <c r="C12" t="s">
        <v>231</v>
      </c>
      <c r="D12" t="s">
        <v>232</v>
      </c>
    </row>
    <row r="13" spans="1:4" x14ac:dyDescent="0.3">
      <c r="A13" t="s">
        <v>56</v>
      </c>
      <c r="B13" t="s">
        <v>233</v>
      </c>
      <c r="C13" t="s">
        <v>234</v>
      </c>
      <c r="D13" t="s">
        <v>235</v>
      </c>
    </row>
    <row r="14" spans="1:4" x14ac:dyDescent="0.3">
      <c r="A14" t="s">
        <v>109</v>
      </c>
      <c r="B14" t="s">
        <v>236</v>
      </c>
      <c r="C14" t="s">
        <v>237</v>
      </c>
      <c r="D14" t="s">
        <v>238</v>
      </c>
    </row>
    <row r="15" spans="1:4" x14ac:dyDescent="0.3">
      <c r="A15" t="s">
        <v>153</v>
      </c>
      <c r="B15" t="s">
        <v>239</v>
      </c>
      <c r="C15" t="s">
        <v>240</v>
      </c>
    </row>
    <row r="16" spans="1:4" x14ac:dyDescent="0.3">
      <c r="A16" t="s">
        <v>100</v>
      </c>
      <c r="B16" t="s">
        <v>241</v>
      </c>
      <c r="C16" t="s">
        <v>242</v>
      </c>
      <c r="D16" t="s">
        <v>243</v>
      </c>
    </row>
    <row r="17" spans="1:4" x14ac:dyDescent="0.3">
      <c r="A17" t="s">
        <v>135</v>
      </c>
      <c r="B17" t="s">
        <v>244</v>
      </c>
      <c r="C17" t="s">
        <v>245</v>
      </c>
    </row>
    <row r="18" spans="1:4" x14ac:dyDescent="0.3">
      <c r="A18" t="s">
        <v>106</v>
      </c>
      <c r="C18" t="s">
        <v>246</v>
      </c>
      <c r="D18" t="s">
        <v>209</v>
      </c>
    </row>
    <row r="19" spans="1:4" x14ac:dyDescent="0.3">
      <c r="A19" t="s">
        <v>142</v>
      </c>
      <c r="B19" t="s">
        <v>247</v>
      </c>
      <c r="C19" t="s">
        <v>248</v>
      </c>
    </row>
    <row r="20" spans="1:4" x14ac:dyDescent="0.3">
      <c r="A20" t="s">
        <v>94</v>
      </c>
      <c r="B20" t="s">
        <v>249</v>
      </c>
      <c r="C20" t="s">
        <v>250</v>
      </c>
      <c r="D20" t="s">
        <v>251</v>
      </c>
    </row>
    <row r="21" spans="1:4" x14ac:dyDescent="0.3">
      <c r="A21" t="s">
        <v>130</v>
      </c>
      <c r="B21" t="s">
        <v>252</v>
      </c>
      <c r="C21" t="s">
        <v>253</v>
      </c>
      <c r="D21" t="s">
        <v>254</v>
      </c>
    </row>
    <row r="22" spans="1:4" x14ac:dyDescent="0.3">
      <c r="A22" t="s">
        <v>117</v>
      </c>
      <c r="B22" t="s">
        <v>255</v>
      </c>
      <c r="C22" t="s">
        <v>256</v>
      </c>
      <c r="D22" t="s">
        <v>257</v>
      </c>
    </row>
    <row r="23" spans="1:4" x14ac:dyDescent="0.3">
      <c r="A23" t="s">
        <v>144</v>
      </c>
      <c r="B23" t="s">
        <v>258</v>
      </c>
      <c r="C23" t="s">
        <v>259</v>
      </c>
      <c r="D23" t="s">
        <v>260</v>
      </c>
    </row>
    <row r="24" spans="1:4" x14ac:dyDescent="0.3">
      <c r="A24" t="s">
        <v>89</v>
      </c>
      <c r="B24" t="s">
        <v>261</v>
      </c>
      <c r="C24" t="s">
        <v>262</v>
      </c>
      <c r="D24" t="s">
        <v>263</v>
      </c>
    </row>
    <row r="25" spans="1:4" x14ac:dyDescent="0.3">
      <c r="A25" t="s">
        <v>41</v>
      </c>
      <c r="B25" t="s">
        <v>264</v>
      </c>
      <c r="C25" t="s">
        <v>265</v>
      </c>
      <c r="D25" t="s">
        <v>266</v>
      </c>
    </row>
    <row r="26" spans="1:4" x14ac:dyDescent="0.3">
      <c r="A26" t="s">
        <v>137</v>
      </c>
      <c r="B26" t="s">
        <v>267</v>
      </c>
      <c r="C26" t="s">
        <v>268</v>
      </c>
    </row>
    <row r="27" spans="1:4" x14ac:dyDescent="0.3">
      <c r="A27" t="s">
        <v>127</v>
      </c>
      <c r="B27" t="s">
        <v>269</v>
      </c>
      <c r="C27" t="s">
        <v>270</v>
      </c>
      <c r="D27" t="s">
        <v>271</v>
      </c>
    </row>
    <row r="28" spans="1:4" x14ac:dyDescent="0.3">
      <c r="A28" t="s">
        <v>82</v>
      </c>
      <c r="B28" t="s">
        <v>272</v>
      </c>
      <c r="C28" t="s">
        <v>273</v>
      </c>
      <c r="D28" t="s">
        <v>274</v>
      </c>
    </row>
    <row r="29" spans="1:4" x14ac:dyDescent="0.3">
      <c r="A29" t="s">
        <v>148</v>
      </c>
      <c r="B29" t="s">
        <v>275</v>
      </c>
      <c r="C29" t="s">
        <v>276</v>
      </c>
      <c r="D29" t="s">
        <v>277</v>
      </c>
    </row>
    <row r="30" spans="1:4" x14ac:dyDescent="0.3">
      <c r="A30" t="s">
        <v>140</v>
      </c>
      <c r="B30" t="s">
        <v>278</v>
      </c>
      <c r="C30" t="s">
        <v>279</v>
      </c>
    </row>
    <row r="31" spans="1:4" x14ac:dyDescent="0.3">
      <c r="A31" t="s">
        <v>42</v>
      </c>
      <c r="B31" t="s">
        <v>280</v>
      </c>
      <c r="C31" t="s">
        <v>281</v>
      </c>
      <c r="D31" t="s">
        <v>282</v>
      </c>
    </row>
    <row r="32" spans="1:4" x14ac:dyDescent="0.3">
      <c r="A32" t="s">
        <v>116</v>
      </c>
      <c r="B32" t="s">
        <v>283</v>
      </c>
      <c r="C32" t="s">
        <v>284</v>
      </c>
      <c r="D32" t="s">
        <v>257</v>
      </c>
    </row>
    <row r="33" spans="1:4" x14ac:dyDescent="0.3">
      <c r="A33" t="s">
        <v>79</v>
      </c>
      <c r="B33" t="s">
        <v>285</v>
      </c>
      <c r="C33" t="s">
        <v>286</v>
      </c>
      <c r="D33" t="s">
        <v>287</v>
      </c>
    </row>
    <row r="34" spans="1:4" x14ac:dyDescent="0.3">
      <c r="A34" t="s">
        <v>115</v>
      </c>
      <c r="B34" t="s">
        <v>288</v>
      </c>
      <c r="C34" t="s">
        <v>289</v>
      </c>
    </row>
    <row r="35" spans="1:4" x14ac:dyDescent="0.3">
      <c r="A35" t="s">
        <v>102</v>
      </c>
      <c r="B35" t="s">
        <v>290</v>
      </c>
      <c r="C35" t="s">
        <v>291</v>
      </c>
      <c r="D35" t="s">
        <v>292</v>
      </c>
    </row>
    <row r="36" spans="1:4" x14ac:dyDescent="0.3">
      <c r="A36" t="s">
        <v>37</v>
      </c>
      <c r="B36" t="s">
        <v>293</v>
      </c>
      <c r="C36" t="s">
        <v>294</v>
      </c>
      <c r="D36" t="s">
        <v>295</v>
      </c>
    </row>
    <row r="37" spans="1:4" x14ac:dyDescent="0.3">
      <c r="A37" t="s">
        <v>24</v>
      </c>
      <c r="B37" t="s">
        <v>296</v>
      </c>
      <c r="C37" t="s">
        <v>297</v>
      </c>
      <c r="D37" t="s">
        <v>298</v>
      </c>
    </row>
    <row r="38" spans="1:4" x14ac:dyDescent="0.3">
      <c r="A38" t="s">
        <v>149</v>
      </c>
      <c r="B38" t="s">
        <v>299</v>
      </c>
      <c r="C38" t="s">
        <v>300</v>
      </c>
      <c r="D38" t="s">
        <v>301</v>
      </c>
    </row>
    <row r="39" spans="1:4" x14ac:dyDescent="0.3">
      <c r="A39" t="s">
        <v>25</v>
      </c>
      <c r="B39" t="s">
        <v>244</v>
      </c>
      <c r="C39" t="s">
        <v>302</v>
      </c>
    </row>
    <row r="40" spans="1:4" x14ac:dyDescent="0.3">
      <c r="A40" t="s">
        <v>103</v>
      </c>
      <c r="B40" t="s">
        <v>303</v>
      </c>
      <c r="C40" t="s">
        <v>304</v>
      </c>
      <c r="D40" t="s">
        <v>305</v>
      </c>
    </row>
    <row r="41" spans="1:4" x14ac:dyDescent="0.3">
      <c r="A41" t="s">
        <v>49</v>
      </c>
      <c r="B41" t="s">
        <v>306</v>
      </c>
      <c r="C41" t="s">
        <v>307</v>
      </c>
      <c r="D41" t="s">
        <v>308</v>
      </c>
    </row>
    <row r="42" spans="1:4" x14ac:dyDescent="0.3">
      <c r="A42" t="s">
        <v>61</v>
      </c>
      <c r="B42" t="s">
        <v>309</v>
      </c>
      <c r="C42" t="s">
        <v>310</v>
      </c>
    </row>
    <row r="43" spans="1:4" x14ac:dyDescent="0.3">
      <c r="A43" t="s">
        <v>111</v>
      </c>
      <c r="B43" t="s">
        <v>311</v>
      </c>
      <c r="C43" t="s">
        <v>312</v>
      </c>
      <c r="D43" t="s">
        <v>313</v>
      </c>
    </row>
    <row r="44" spans="1:4" x14ac:dyDescent="0.3">
      <c r="A44" t="s">
        <v>91</v>
      </c>
      <c r="B44" t="s">
        <v>314</v>
      </c>
      <c r="C44" t="s">
        <v>315</v>
      </c>
      <c r="D44" t="s">
        <v>316</v>
      </c>
    </row>
    <row r="45" spans="1:4" x14ac:dyDescent="0.3">
      <c r="A45" t="s">
        <v>90</v>
      </c>
      <c r="B45" t="s">
        <v>317</v>
      </c>
      <c r="C45" t="s">
        <v>318</v>
      </c>
      <c r="D45" t="s">
        <v>319</v>
      </c>
    </row>
    <row r="46" spans="1:4" x14ac:dyDescent="0.3">
      <c r="A46" t="s">
        <v>151</v>
      </c>
      <c r="B46" t="s">
        <v>320</v>
      </c>
      <c r="C46" t="s">
        <v>321</v>
      </c>
      <c r="D46" t="s">
        <v>322</v>
      </c>
    </row>
    <row r="47" spans="1:4" x14ac:dyDescent="0.3">
      <c r="A47" t="s">
        <v>139</v>
      </c>
      <c r="B47" t="s">
        <v>323</v>
      </c>
      <c r="C47" t="s">
        <v>324</v>
      </c>
      <c r="D47" t="s">
        <v>325</v>
      </c>
    </row>
    <row r="48" spans="1:4" x14ac:dyDescent="0.3">
      <c r="A48" t="s">
        <v>93</v>
      </c>
      <c r="B48" t="s">
        <v>326</v>
      </c>
      <c r="C48" t="s">
        <v>327</v>
      </c>
      <c r="D48" t="s">
        <v>328</v>
      </c>
    </row>
    <row r="49" spans="1:4" x14ac:dyDescent="0.3">
      <c r="A49" t="s">
        <v>118</v>
      </c>
      <c r="B49" t="s">
        <v>329</v>
      </c>
      <c r="C49" t="s">
        <v>330</v>
      </c>
      <c r="D49" t="s">
        <v>331</v>
      </c>
    </row>
    <row r="50" spans="1:4" x14ac:dyDescent="0.3">
      <c r="A50" t="s">
        <v>114</v>
      </c>
      <c r="B50" t="s">
        <v>332</v>
      </c>
      <c r="C50" t="s">
        <v>333</v>
      </c>
      <c r="D50" t="s">
        <v>334</v>
      </c>
    </row>
    <row r="51" spans="1:4" x14ac:dyDescent="0.3">
      <c r="A51" t="s">
        <v>108</v>
      </c>
      <c r="B51" t="s">
        <v>335</v>
      </c>
      <c r="C51" t="s">
        <v>336</v>
      </c>
    </row>
    <row r="52" spans="1:4" x14ac:dyDescent="0.3">
      <c r="A52" t="s">
        <v>63</v>
      </c>
      <c r="B52" t="s">
        <v>337</v>
      </c>
      <c r="C52" t="s">
        <v>338</v>
      </c>
      <c r="D52" t="s">
        <v>339</v>
      </c>
    </row>
    <row r="53" spans="1:4" x14ac:dyDescent="0.3">
      <c r="A53" t="s">
        <v>87</v>
      </c>
      <c r="B53" t="s">
        <v>340</v>
      </c>
      <c r="C53" t="s">
        <v>341</v>
      </c>
      <c r="D53" t="s">
        <v>342</v>
      </c>
    </row>
    <row r="54" spans="1:4" x14ac:dyDescent="0.3">
      <c r="A54" t="s">
        <v>150</v>
      </c>
      <c r="B54" t="s">
        <v>343</v>
      </c>
      <c r="D54" t="s">
        <v>344</v>
      </c>
    </row>
    <row r="55" spans="1:4" x14ac:dyDescent="0.3">
      <c r="A55" t="s">
        <v>95</v>
      </c>
    </row>
    <row r="56" spans="1:4" x14ac:dyDescent="0.3">
      <c r="A56" t="s">
        <v>119</v>
      </c>
      <c r="B56" t="s">
        <v>345</v>
      </c>
      <c r="C56" t="s">
        <v>346</v>
      </c>
    </row>
    <row r="57" spans="1:4" x14ac:dyDescent="0.3">
      <c r="A57" t="s">
        <v>47</v>
      </c>
      <c r="B57" t="s">
        <v>347</v>
      </c>
      <c r="C57" t="s">
        <v>348</v>
      </c>
      <c r="D57" t="s">
        <v>349</v>
      </c>
    </row>
    <row r="58" spans="1:4" x14ac:dyDescent="0.3">
      <c r="A58" t="s">
        <v>126</v>
      </c>
      <c r="B58" t="s">
        <v>350</v>
      </c>
      <c r="C58" t="s">
        <v>351</v>
      </c>
      <c r="D58" t="s">
        <v>352</v>
      </c>
    </row>
    <row r="59" spans="1:4" x14ac:dyDescent="0.3">
      <c r="A59" t="s">
        <v>141</v>
      </c>
      <c r="B59" t="s">
        <v>353</v>
      </c>
      <c r="C59" t="s">
        <v>354</v>
      </c>
      <c r="D59" t="s">
        <v>355</v>
      </c>
    </row>
    <row r="60" spans="1:4" x14ac:dyDescent="0.3">
      <c r="A60" t="s">
        <v>122</v>
      </c>
      <c r="B60" t="s">
        <v>356</v>
      </c>
      <c r="C60" t="s">
        <v>357</v>
      </c>
      <c r="D60" t="s">
        <v>358</v>
      </c>
    </row>
    <row r="61" spans="1:4" x14ac:dyDescent="0.3">
      <c r="A61" t="s">
        <v>54</v>
      </c>
      <c r="B61" t="s">
        <v>359</v>
      </c>
      <c r="C61" t="s">
        <v>360</v>
      </c>
      <c r="D61" t="s">
        <v>361</v>
      </c>
    </row>
    <row r="62" spans="1:4" x14ac:dyDescent="0.3">
      <c r="A62" t="s">
        <v>113</v>
      </c>
      <c r="B62" t="s">
        <v>362</v>
      </c>
      <c r="C62" t="s">
        <v>363</v>
      </c>
      <c r="D62" t="s">
        <v>364</v>
      </c>
    </row>
    <row r="63" spans="1:4" x14ac:dyDescent="0.3">
      <c r="A63" t="s">
        <v>138</v>
      </c>
      <c r="B63" t="s">
        <v>365</v>
      </c>
      <c r="C63" t="s">
        <v>366</v>
      </c>
    </row>
    <row r="64" spans="1:4" x14ac:dyDescent="0.3">
      <c r="A64" t="s">
        <v>51</v>
      </c>
      <c r="B64" t="s">
        <v>367</v>
      </c>
      <c r="C64" t="s">
        <v>368</v>
      </c>
    </row>
    <row r="65" spans="1:4" x14ac:dyDescent="0.3">
      <c r="A65" t="s">
        <v>112</v>
      </c>
      <c r="B65" t="s">
        <v>369</v>
      </c>
      <c r="C65" t="s">
        <v>370</v>
      </c>
      <c r="D65" t="s">
        <v>371</v>
      </c>
    </row>
    <row r="66" spans="1:4" x14ac:dyDescent="0.3">
      <c r="A66" t="s">
        <v>20</v>
      </c>
      <c r="C66" t="s">
        <v>372</v>
      </c>
      <c r="D66" t="s">
        <v>209</v>
      </c>
    </row>
    <row r="67" spans="1:4" x14ac:dyDescent="0.3">
      <c r="A67" t="s">
        <v>136</v>
      </c>
      <c r="B67" t="s">
        <v>373</v>
      </c>
      <c r="C67" t="s">
        <v>374</v>
      </c>
    </row>
    <row r="68" spans="1:4" x14ac:dyDescent="0.3">
      <c r="A68" t="s">
        <v>124</v>
      </c>
      <c r="B68" t="s">
        <v>375</v>
      </c>
      <c r="C68" t="s">
        <v>376</v>
      </c>
      <c r="D68" t="s">
        <v>377</v>
      </c>
    </row>
    <row r="69" spans="1:4" x14ac:dyDescent="0.3">
      <c r="A69" t="s">
        <v>84</v>
      </c>
      <c r="B69" t="s">
        <v>378</v>
      </c>
      <c r="C69" t="s">
        <v>379</v>
      </c>
      <c r="D69" t="s">
        <v>328</v>
      </c>
    </row>
    <row r="70" spans="1:4" x14ac:dyDescent="0.3">
      <c r="A70" t="s">
        <v>131</v>
      </c>
      <c r="C70" t="s">
        <v>380</v>
      </c>
      <c r="D70" t="s">
        <v>209</v>
      </c>
    </row>
    <row r="71" spans="1:4" x14ac:dyDescent="0.3">
      <c r="A71" t="s">
        <v>132</v>
      </c>
      <c r="B71" t="s">
        <v>381</v>
      </c>
      <c r="C71" t="s">
        <v>382</v>
      </c>
      <c r="D71" t="s">
        <v>383</v>
      </c>
    </row>
    <row r="72" spans="1:4" x14ac:dyDescent="0.3">
      <c r="A72" t="s">
        <v>39</v>
      </c>
      <c r="B72" t="s">
        <v>384</v>
      </c>
      <c r="C72" t="s">
        <v>385</v>
      </c>
      <c r="D72" t="s">
        <v>386</v>
      </c>
    </row>
    <row r="73" spans="1:4" x14ac:dyDescent="0.3">
      <c r="A73" t="s">
        <v>80</v>
      </c>
      <c r="B73" t="s">
        <v>387</v>
      </c>
      <c r="C73" t="s">
        <v>388</v>
      </c>
      <c r="D73" t="s">
        <v>389</v>
      </c>
    </row>
    <row r="74" spans="1:4" x14ac:dyDescent="0.3">
      <c r="A74" t="s">
        <v>97</v>
      </c>
      <c r="B74" t="s">
        <v>390</v>
      </c>
      <c r="C74" t="s">
        <v>391</v>
      </c>
      <c r="D74" t="s">
        <v>392</v>
      </c>
    </row>
    <row r="75" spans="1:4" x14ac:dyDescent="0.3">
      <c r="A75" t="s">
        <v>134</v>
      </c>
      <c r="B75" t="s">
        <v>393</v>
      </c>
      <c r="C75" t="s">
        <v>394</v>
      </c>
      <c r="D75" t="s">
        <v>395</v>
      </c>
    </row>
    <row r="76" spans="1:4" x14ac:dyDescent="0.3">
      <c r="A76" t="s">
        <v>74</v>
      </c>
      <c r="B76" t="s">
        <v>396</v>
      </c>
      <c r="C76" t="s">
        <v>397</v>
      </c>
    </row>
    <row r="77" spans="1:4" x14ac:dyDescent="0.3">
      <c r="A77" t="s">
        <v>29</v>
      </c>
      <c r="B77" t="s">
        <v>249</v>
      </c>
      <c r="D77" t="s">
        <v>251</v>
      </c>
    </row>
    <row r="78" spans="1:4" x14ac:dyDescent="0.3">
      <c r="A78" t="s">
        <v>40</v>
      </c>
      <c r="B78" t="s">
        <v>398</v>
      </c>
      <c r="C78" t="s">
        <v>399</v>
      </c>
    </row>
    <row r="79" spans="1:4" x14ac:dyDescent="0.3">
      <c r="A79" t="s">
        <v>88</v>
      </c>
      <c r="B79" t="s">
        <v>400</v>
      </c>
      <c r="C79" t="s">
        <v>401</v>
      </c>
      <c r="D79" t="s">
        <v>402</v>
      </c>
    </row>
    <row r="80" spans="1:4" x14ac:dyDescent="0.3">
      <c r="A80" t="s">
        <v>110</v>
      </c>
      <c r="B80" t="s">
        <v>403</v>
      </c>
      <c r="C80" t="s">
        <v>404</v>
      </c>
      <c r="D80" t="s">
        <v>405</v>
      </c>
    </row>
    <row r="81" spans="1:4" x14ac:dyDescent="0.3">
      <c r="A81" t="s">
        <v>155</v>
      </c>
      <c r="B81" t="s">
        <v>406</v>
      </c>
      <c r="C81" t="s">
        <v>407</v>
      </c>
    </row>
    <row r="82" spans="1:4" x14ac:dyDescent="0.3">
      <c r="A82" t="s">
        <v>57</v>
      </c>
      <c r="B82" t="s">
        <v>406</v>
      </c>
      <c r="C82" t="s">
        <v>408</v>
      </c>
    </row>
    <row r="83" spans="1:4" x14ac:dyDescent="0.3">
      <c r="A83" t="s">
        <v>38</v>
      </c>
      <c r="B83" t="s">
        <v>409</v>
      </c>
      <c r="C83" t="s">
        <v>410</v>
      </c>
      <c r="D83" t="s">
        <v>411</v>
      </c>
    </row>
    <row r="84" spans="1:4" x14ac:dyDescent="0.3">
      <c r="A84" t="s">
        <v>133</v>
      </c>
      <c r="B84" t="s">
        <v>412</v>
      </c>
      <c r="C84" t="s">
        <v>413</v>
      </c>
      <c r="D84" t="s">
        <v>414</v>
      </c>
    </row>
    <row r="85" spans="1:4" x14ac:dyDescent="0.3">
      <c r="A85" t="s">
        <v>27</v>
      </c>
    </row>
    <row r="86" spans="1:4" x14ac:dyDescent="0.3">
      <c r="A86" t="s">
        <v>92</v>
      </c>
      <c r="B86" t="s">
        <v>415</v>
      </c>
      <c r="C86" t="s">
        <v>416</v>
      </c>
      <c r="D86" t="s">
        <v>417</v>
      </c>
    </row>
    <row r="87" spans="1:4" x14ac:dyDescent="0.3">
      <c r="A87" t="s">
        <v>52</v>
      </c>
      <c r="B87" t="s">
        <v>418</v>
      </c>
      <c r="C87" t="s">
        <v>419</v>
      </c>
    </row>
    <row r="88" spans="1:4" x14ac:dyDescent="0.3">
      <c r="A88" t="s">
        <v>44</v>
      </c>
      <c r="B88" t="s">
        <v>420</v>
      </c>
      <c r="C88" t="s">
        <v>421</v>
      </c>
      <c r="D88" t="s">
        <v>422</v>
      </c>
    </row>
    <row r="89" spans="1:4" x14ac:dyDescent="0.3">
      <c r="A89" t="s">
        <v>99</v>
      </c>
      <c r="B89" t="s">
        <v>423</v>
      </c>
      <c r="C89" t="s">
        <v>424</v>
      </c>
    </row>
    <row r="90" spans="1:4" x14ac:dyDescent="0.3">
      <c r="A90" t="s">
        <v>21</v>
      </c>
      <c r="B90" t="s">
        <v>425</v>
      </c>
      <c r="C90" t="s">
        <v>426</v>
      </c>
      <c r="D90" t="s">
        <v>427</v>
      </c>
    </row>
    <row r="91" spans="1:4" x14ac:dyDescent="0.3">
      <c r="A91" t="s">
        <v>35</v>
      </c>
      <c r="B91" t="s">
        <v>428</v>
      </c>
      <c r="C91" t="s">
        <v>429</v>
      </c>
      <c r="D91" t="s">
        <v>430</v>
      </c>
    </row>
    <row r="92" spans="1:4" x14ac:dyDescent="0.3">
      <c r="A92" t="s">
        <v>65</v>
      </c>
      <c r="B92" t="s">
        <v>431</v>
      </c>
      <c r="C92" t="s">
        <v>432</v>
      </c>
      <c r="D92" t="s">
        <v>433</v>
      </c>
    </row>
    <row r="93" spans="1:4" x14ac:dyDescent="0.3">
      <c r="A93" t="s">
        <v>36</v>
      </c>
      <c r="B93" t="s">
        <v>434</v>
      </c>
      <c r="C93" t="s">
        <v>435</v>
      </c>
    </row>
    <row r="94" spans="1:4" x14ac:dyDescent="0.3">
      <c r="A94" t="s">
        <v>120</v>
      </c>
      <c r="B94" t="s">
        <v>436</v>
      </c>
      <c r="C94" t="s">
        <v>437</v>
      </c>
    </row>
    <row r="95" spans="1:4" x14ac:dyDescent="0.3">
      <c r="A95" t="s">
        <v>86</v>
      </c>
      <c r="B95" t="s">
        <v>438</v>
      </c>
      <c r="C95" t="s">
        <v>439</v>
      </c>
      <c r="D95" t="s">
        <v>440</v>
      </c>
    </row>
    <row r="96" spans="1:4" x14ac:dyDescent="0.3">
      <c r="A96" t="s">
        <v>75</v>
      </c>
      <c r="B96" t="s">
        <v>441</v>
      </c>
      <c r="C96" t="s">
        <v>442</v>
      </c>
      <c r="D96" t="s">
        <v>443</v>
      </c>
    </row>
    <row r="97" spans="1:4" x14ac:dyDescent="0.3">
      <c r="A97" t="s">
        <v>30</v>
      </c>
      <c r="B97" t="s">
        <v>444</v>
      </c>
      <c r="C97" t="s">
        <v>445</v>
      </c>
      <c r="D97" t="s">
        <v>446</v>
      </c>
    </row>
    <row r="98" spans="1:4" x14ac:dyDescent="0.3">
      <c r="A98" t="s">
        <v>53</v>
      </c>
      <c r="B98" t="s">
        <v>447</v>
      </c>
      <c r="C98" t="s">
        <v>448</v>
      </c>
      <c r="D98" t="s">
        <v>449</v>
      </c>
    </row>
    <row r="99" spans="1:4" x14ac:dyDescent="0.3">
      <c r="A99" t="s">
        <v>16</v>
      </c>
      <c r="B99" t="s">
        <v>450</v>
      </c>
      <c r="C99" t="s">
        <v>451</v>
      </c>
    </row>
    <row r="100" spans="1:4" x14ac:dyDescent="0.3">
      <c r="A100" t="s">
        <v>17</v>
      </c>
      <c r="B100" t="s">
        <v>452</v>
      </c>
      <c r="C100" t="s">
        <v>453</v>
      </c>
      <c r="D100" t="s">
        <v>454</v>
      </c>
    </row>
    <row r="101" spans="1:4" x14ac:dyDescent="0.3">
      <c r="A101" t="s">
        <v>33</v>
      </c>
      <c r="B101" t="s">
        <v>455</v>
      </c>
      <c r="C101" t="s">
        <v>456</v>
      </c>
      <c r="D101" t="s">
        <v>457</v>
      </c>
    </row>
    <row r="102" spans="1:4" x14ac:dyDescent="0.3">
      <c r="A102" t="s">
        <v>34</v>
      </c>
      <c r="B102" t="s">
        <v>458</v>
      </c>
      <c r="C102" t="s">
        <v>459</v>
      </c>
      <c r="D102" t="s">
        <v>460</v>
      </c>
    </row>
    <row r="103" spans="1:4" x14ac:dyDescent="0.3">
      <c r="A103" t="s">
        <v>12</v>
      </c>
      <c r="B103" t="s">
        <v>461</v>
      </c>
      <c r="C103" t="s">
        <v>462</v>
      </c>
      <c r="D103" t="s">
        <v>463</v>
      </c>
    </row>
    <row r="104" spans="1:4" x14ac:dyDescent="0.3">
      <c r="A104" t="s">
        <v>146</v>
      </c>
      <c r="B104" t="s">
        <v>464</v>
      </c>
      <c r="C104" t="s">
        <v>465</v>
      </c>
    </row>
    <row r="105" spans="1:4" x14ac:dyDescent="0.3">
      <c r="A105" t="s">
        <v>55</v>
      </c>
      <c r="B105" t="s">
        <v>466</v>
      </c>
      <c r="C105" t="s">
        <v>467</v>
      </c>
      <c r="D105" t="s">
        <v>468</v>
      </c>
    </row>
    <row r="106" spans="1:4" x14ac:dyDescent="0.3">
      <c r="A106" t="s">
        <v>70</v>
      </c>
      <c r="B106" t="s">
        <v>469</v>
      </c>
      <c r="C106" t="s">
        <v>470</v>
      </c>
      <c r="D106" t="s">
        <v>471</v>
      </c>
    </row>
    <row r="107" spans="1:4" x14ac:dyDescent="0.3">
      <c r="A107" t="s">
        <v>69</v>
      </c>
      <c r="B107" t="s">
        <v>472</v>
      </c>
      <c r="C107" t="s">
        <v>473</v>
      </c>
      <c r="D107" t="s">
        <v>474</v>
      </c>
    </row>
    <row r="108" spans="1:4" x14ac:dyDescent="0.3">
      <c r="A108" t="s">
        <v>10</v>
      </c>
      <c r="B108" t="s">
        <v>475</v>
      </c>
      <c r="C108" t="s">
        <v>476</v>
      </c>
    </row>
    <row r="109" spans="1:4" x14ac:dyDescent="0.3">
      <c r="A109" t="s">
        <v>123</v>
      </c>
      <c r="B109" t="s">
        <v>477</v>
      </c>
      <c r="C109" t="s">
        <v>478</v>
      </c>
      <c r="D109" t="s">
        <v>479</v>
      </c>
    </row>
    <row r="110" spans="1:4" x14ac:dyDescent="0.3">
      <c r="A110" t="s">
        <v>64</v>
      </c>
      <c r="B110" t="s">
        <v>480</v>
      </c>
      <c r="C110" t="s">
        <v>481</v>
      </c>
    </row>
    <row r="111" spans="1:4" x14ac:dyDescent="0.3">
      <c r="A111" t="s">
        <v>85</v>
      </c>
      <c r="B111" t="s">
        <v>482</v>
      </c>
      <c r="C111" t="s">
        <v>483</v>
      </c>
    </row>
    <row r="112" spans="1:4" x14ac:dyDescent="0.3">
      <c r="A112" t="s">
        <v>22</v>
      </c>
      <c r="B112" t="s">
        <v>484</v>
      </c>
      <c r="C112" t="s">
        <v>485</v>
      </c>
      <c r="D112" t="s">
        <v>486</v>
      </c>
    </row>
    <row r="113" spans="1:4" x14ac:dyDescent="0.3">
      <c r="A113" t="s">
        <v>14</v>
      </c>
      <c r="B113" t="s">
        <v>487</v>
      </c>
      <c r="C113" t="s">
        <v>488</v>
      </c>
      <c r="D113" t="s">
        <v>489</v>
      </c>
    </row>
    <row r="114" spans="1:4" x14ac:dyDescent="0.3">
      <c r="A114" t="s">
        <v>154</v>
      </c>
      <c r="B114" t="s">
        <v>490</v>
      </c>
      <c r="C114" t="s">
        <v>491</v>
      </c>
    </row>
    <row r="115" spans="1:4" x14ac:dyDescent="0.3">
      <c r="A115" t="s">
        <v>78</v>
      </c>
      <c r="C115" t="s">
        <v>492</v>
      </c>
      <c r="D115" t="s">
        <v>209</v>
      </c>
    </row>
    <row r="116" spans="1:4" x14ac:dyDescent="0.3">
      <c r="A116" t="s">
        <v>13</v>
      </c>
      <c r="C116" t="s">
        <v>493</v>
      </c>
      <c r="D116" t="s">
        <v>494</v>
      </c>
    </row>
    <row r="117" spans="1:4" x14ac:dyDescent="0.3">
      <c r="A117" t="s">
        <v>11</v>
      </c>
      <c r="B117" t="s">
        <v>495</v>
      </c>
      <c r="C117" t="s">
        <v>496</v>
      </c>
      <c r="D117" t="s">
        <v>497</v>
      </c>
    </row>
    <row r="118" spans="1:4" x14ac:dyDescent="0.3">
      <c r="A118" t="s">
        <v>68</v>
      </c>
      <c r="B118" t="s">
        <v>498</v>
      </c>
      <c r="C118" t="s">
        <v>499</v>
      </c>
    </row>
    <row r="119" spans="1:4" x14ac:dyDescent="0.3">
      <c r="A119" t="s">
        <v>59</v>
      </c>
      <c r="B119" t="s">
        <v>500</v>
      </c>
      <c r="C119" t="s">
        <v>501</v>
      </c>
      <c r="D119" t="s">
        <v>502</v>
      </c>
    </row>
    <row r="120" spans="1:4" x14ac:dyDescent="0.3">
      <c r="A120" t="s">
        <v>23</v>
      </c>
      <c r="B120" t="s">
        <v>503</v>
      </c>
      <c r="C120" t="s">
        <v>504</v>
      </c>
      <c r="D120" t="s">
        <v>505</v>
      </c>
    </row>
    <row r="121" spans="1:4" x14ac:dyDescent="0.3">
      <c r="A121" t="s">
        <v>19</v>
      </c>
      <c r="B121" t="s">
        <v>506</v>
      </c>
      <c r="C121" t="s">
        <v>507</v>
      </c>
      <c r="D121" t="s">
        <v>508</v>
      </c>
    </row>
    <row r="122" spans="1:4" x14ac:dyDescent="0.3">
      <c r="A122" t="s">
        <v>18</v>
      </c>
      <c r="B122" t="s">
        <v>509</v>
      </c>
      <c r="C122" t="s">
        <v>510</v>
      </c>
      <c r="D122" t="s">
        <v>511</v>
      </c>
    </row>
    <row r="123" spans="1:4" x14ac:dyDescent="0.3">
      <c r="A123" t="s">
        <v>76</v>
      </c>
      <c r="B123" t="s">
        <v>512</v>
      </c>
      <c r="C123" t="s">
        <v>513</v>
      </c>
      <c r="D123" t="s">
        <v>514</v>
      </c>
    </row>
    <row r="124" spans="1:4" x14ac:dyDescent="0.3">
      <c r="A124" t="s">
        <v>15</v>
      </c>
      <c r="B124" t="s">
        <v>515</v>
      </c>
      <c r="C124" t="s">
        <v>516</v>
      </c>
      <c r="D124" t="s">
        <v>517</v>
      </c>
    </row>
    <row r="125" spans="1:4" x14ac:dyDescent="0.3">
      <c r="A125" t="s">
        <v>81</v>
      </c>
      <c r="B125" t="s">
        <v>518</v>
      </c>
      <c r="C125" t="s">
        <v>519</v>
      </c>
    </row>
    <row r="126" spans="1:4" x14ac:dyDescent="0.3">
      <c r="A126" t="s">
        <v>107</v>
      </c>
      <c r="B126" t="s">
        <v>520</v>
      </c>
      <c r="D126" t="s">
        <v>521</v>
      </c>
    </row>
    <row r="127" spans="1:4" x14ac:dyDescent="0.3">
      <c r="A127" t="s">
        <v>121</v>
      </c>
      <c r="B127" t="s">
        <v>522</v>
      </c>
      <c r="C127" t="s">
        <v>523</v>
      </c>
      <c r="D127" t="s">
        <v>524</v>
      </c>
    </row>
    <row r="128" spans="1:4" x14ac:dyDescent="0.3">
      <c r="A128" t="s">
        <v>31</v>
      </c>
      <c r="B128" t="s">
        <v>525</v>
      </c>
      <c r="C128" t="s">
        <v>526</v>
      </c>
      <c r="D128" t="s">
        <v>527</v>
      </c>
    </row>
    <row r="129" spans="1:4" x14ac:dyDescent="0.3">
      <c r="A129" t="s">
        <v>50</v>
      </c>
      <c r="B129" t="s">
        <v>528</v>
      </c>
      <c r="C129" t="s">
        <v>529</v>
      </c>
      <c r="D129" t="s">
        <v>530</v>
      </c>
    </row>
    <row r="130" spans="1:4" x14ac:dyDescent="0.3">
      <c r="A130" t="s">
        <v>60</v>
      </c>
      <c r="B130" t="s">
        <v>531</v>
      </c>
      <c r="C130" t="s">
        <v>532</v>
      </c>
    </row>
    <row r="131" spans="1:4" x14ac:dyDescent="0.3">
      <c r="A131" t="s">
        <v>128</v>
      </c>
      <c r="B131" t="s">
        <v>533</v>
      </c>
      <c r="C131" t="s">
        <v>534</v>
      </c>
      <c r="D131" t="s">
        <v>535</v>
      </c>
    </row>
    <row r="132" spans="1:4" x14ac:dyDescent="0.3">
      <c r="A132" t="s">
        <v>73</v>
      </c>
      <c r="B132" t="s">
        <v>536</v>
      </c>
      <c r="C132" t="s">
        <v>537</v>
      </c>
      <c r="D132" t="s">
        <v>538</v>
      </c>
    </row>
    <row r="133" spans="1:4" x14ac:dyDescent="0.3">
      <c r="A133" t="s">
        <v>45</v>
      </c>
      <c r="B133" t="s">
        <v>464</v>
      </c>
      <c r="C133" t="s">
        <v>539</v>
      </c>
      <c r="D133" t="s">
        <v>540</v>
      </c>
    </row>
    <row r="134" spans="1:4" x14ac:dyDescent="0.3">
      <c r="A134" t="s">
        <v>9</v>
      </c>
      <c r="B134" t="s">
        <v>541</v>
      </c>
      <c r="D134" t="s">
        <v>542</v>
      </c>
    </row>
    <row r="135" spans="1:4" x14ac:dyDescent="0.3">
      <c r="A135" t="s">
        <v>58</v>
      </c>
      <c r="B135" t="s">
        <v>543</v>
      </c>
      <c r="C135" t="s">
        <v>544</v>
      </c>
      <c r="D135" t="s">
        <v>545</v>
      </c>
    </row>
    <row r="136" spans="1:4" x14ac:dyDescent="0.3">
      <c r="A136" t="s">
        <v>105</v>
      </c>
      <c r="C136" t="s">
        <v>546</v>
      </c>
      <c r="D136" t="s">
        <v>547</v>
      </c>
    </row>
    <row r="137" spans="1:4" x14ac:dyDescent="0.3">
      <c r="A137" t="s">
        <v>43</v>
      </c>
      <c r="B137" t="s">
        <v>548</v>
      </c>
      <c r="C137" t="s">
        <v>549</v>
      </c>
    </row>
    <row r="138" spans="1:4" x14ac:dyDescent="0.3">
      <c r="A138" t="s">
        <v>98</v>
      </c>
      <c r="B138" t="s">
        <v>216</v>
      </c>
      <c r="C138" t="s">
        <v>550</v>
      </c>
      <c r="D138" t="s">
        <v>218</v>
      </c>
    </row>
    <row r="139" spans="1:4" x14ac:dyDescent="0.3">
      <c r="A139" t="s">
        <v>28</v>
      </c>
      <c r="B139" t="s">
        <v>551</v>
      </c>
      <c r="C139" t="s">
        <v>552</v>
      </c>
    </row>
    <row r="140" spans="1:4" x14ac:dyDescent="0.3">
      <c r="A140" t="s">
        <v>46</v>
      </c>
      <c r="B140" t="s">
        <v>553</v>
      </c>
      <c r="C140" t="s">
        <v>554</v>
      </c>
    </row>
    <row r="141" spans="1:4" x14ac:dyDescent="0.3">
      <c r="A141" t="s">
        <v>158</v>
      </c>
      <c r="B141" t="s">
        <v>506</v>
      </c>
      <c r="C141" t="s">
        <v>555</v>
      </c>
      <c r="D141" t="s">
        <v>508</v>
      </c>
    </row>
    <row r="142" spans="1:4" x14ac:dyDescent="0.3">
      <c r="A142" t="s">
        <v>48</v>
      </c>
      <c r="B142" t="s">
        <v>556</v>
      </c>
      <c r="C142" t="s">
        <v>557</v>
      </c>
      <c r="D142" t="s">
        <v>558</v>
      </c>
    </row>
    <row r="143" spans="1:4" x14ac:dyDescent="0.3">
      <c r="A143" t="s">
        <v>169</v>
      </c>
      <c r="B143" t="s">
        <v>559</v>
      </c>
      <c r="C143" t="s">
        <v>560</v>
      </c>
      <c r="D143" t="s">
        <v>561</v>
      </c>
    </row>
    <row r="144" spans="1:4" x14ac:dyDescent="0.3">
      <c r="A144" t="s">
        <v>67</v>
      </c>
      <c r="B144" t="s">
        <v>562</v>
      </c>
      <c r="C144" t="s">
        <v>563</v>
      </c>
      <c r="D144" t="s">
        <v>564</v>
      </c>
    </row>
    <row r="145" spans="1:4" x14ac:dyDescent="0.3">
      <c r="A145" t="s">
        <v>170</v>
      </c>
      <c r="B145" t="s">
        <v>565</v>
      </c>
      <c r="C145" t="s">
        <v>566</v>
      </c>
      <c r="D145" t="s">
        <v>567</v>
      </c>
    </row>
    <row r="146" spans="1:4" x14ac:dyDescent="0.3">
      <c r="A146" t="s">
        <v>160</v>
      </c>
      <c r="B146" t="s">
        <v>568</v>
      </c>
      <c r="C146" t="s">
        <v>569</v>
      </c>
      <c r="D146" t="s">
        <v>570</v>
      </c>
    </row>
    <row r="147" spans="1:4" x14ac:dyDescent="0.3">
      <c r="A147" t="s">
        <v>62</v>
      </c>
      <c r="B147" t="s">
        <v>571</v>
      </c>
      <c r="C147" t="s">
        <v>572</v>
      </c>
    </row>
    <row r="148" spans="1:4" x14ac:dyDescent="0.3">
      <c r="A148" t="s">
        <v>77</v>
      </c>
      <c r="B148" t="s">
        <v>573</v>
      </c>
      <c r="C148" t="s">
        <v>574</v>
      </c>
      <c r="D148" t="s">
        <v>575</v>
      </c>
    </row>
    <row r="149" spans="1:4" x14ac:dyDescent="0.3">
      <c r="A149" t="s">
        <v>167</v>
      </c>
      <c r="B149" t="s">
        <v>576</v>
      </c>
      <c r="C149" t="s">
        <v>577</v>
      </c>
      <c r="D149" t="s">
        <v>331</v>
      </c>
    </row>
    <row r="150" spans="1:4" x14ac:dyDescent="0.3">
      <c r="A150" t="s">
        <v>166</v>
      </c>
      <c r="B150" t="s">
        <v>578</v>
      </c>
      <c r="C150" t="s">
        <v>579</v>
      </c>
      <c r="D150" t="s">
        <v>580</v>
      </c>
    </row>
    <row r="151" spans="1:4" x14ac:dyDescent="0.3">
      <c r="A151" t="s">
        <v>168</v>
      </c>
      <c r="B151" t="s">
        <v>581</v>
      </c>
      <c r="C151" t="s">
        <v>582</v>
      </c>
      <c r="D151" t="s">
        <v>583</v>
      </c>
    </row>
    <row r="152" spans="1:4" x14ac:dyDescent="0.3">
      <c r="A152" t="s">
        <v>161</v>
      </c>
      <c r="B152" t="s">
        <v>584</v>
      </c>
      <c r="C152" t="s">
        <v>585</v>
      </c>
    </row>
    <row r="153" spans="1:4" x14ac:dyDescent="0.3">
      <c r="A153" t="s">
        <v>171</v>
      </c>
      <c r="B153" t="s">
        <v>586</v>
      </c>
      <c r="C153" t="s">
        <v>587</v>
      </c>
      <c r="D153" t="s">
        <v>257</v>
      </c>
    </row>
    <row r="154" spans="1:4" x14ac:dyDescent="0.3">
      <c r="A154" t="s">
        <v>145</v>
      </c>
      <c r="B154" t="s">
        <v>588</v>
      </c>
      <c r="C154" t="s">
        <v>589</v>
      </c>
    </row>
    <row r="155" spans="1:4" x14ac:dyDescent="0.3">
      <c r="A155" t="s">
        <v>165</v>
      </c>
      <c r="B155" t="s">
        <v>590</v>
      </c>
      <c r="C155" t="s">
        <v>591</v>
      </c>
      <c r="D155" t="s">
        <v>592</v>
      </c>
    </row>
    <row r="156" spans="1:4" x14ac:dyDescent="0.3">
      <c r="A156" t="s">
        <v>96</v>
      </c>
      <c r="B156" t="s">
        <v>593</v>
      </c>
      <c r="C156" t="s">
        <v>594</v>
      </c>
      <c r="D156" t="s">
        <v>595</v>
      </c>
    </row>
    <row r="157" spans="1:4" x14ac:dyDescent="0.3">
      <c r="A157" t="s">
        <v>159</v>
      </c>
      <c r="B157" t="s">
        <v>596</v>
      </c>
      <c r="C157" t="s">
        <v>597</v>
      </c>
      <c r="D157" t="s">
        <v>598</v>
      </c>
    </row>
    <row r="158" spans="1:4" x14ac:dyDescent="0.3">
      <c r="A158" t="s">
        <v>129</v>
      </c>
      <c r="B158" t="s">
        <v>599</v>
      </c>
      <c r="C158" t="s">
        <v>600</v>
      </c>
      <c r="D158" t="s">
        <v>601</v>
      </c>
    </row>
    <row r="159" spans="1:4" x14ac:dyDescent="0.3">
      <c r="A159" t="s">
        <v>72</v>
      </c>
      <c r="C159" t="s">
        <v>602</v>
      </c>
      <c r="D159" t="s">
        <v>603</v>
      </c>
    </row>
    <row r="160" spans="1:4" x14ac:dyDescent="0.3">
      <c r="A160" t="s">
        <v>162</v>
      </c>
      <c r="B160" t="s">
        <v>604</v>
      </c>
      <c r="C160" t="s">
        <v>605</v>
      </c>
      <c r="D160" t="s">
        <v>606</v>
      </c>
    </row>
    <row r="161" spans="1:4" x14ac:dyDescent="0.3">
      <c r="A161" t="s">
        <v>163</v>
      </c>
      <c r="B161" t="s">
        <v>607</v>
      </c>
      <c r="C161" t="s">
        <v>608</v>
      </c>
      <c r="D161" t="s">
        <v>609</v>
      </c>
    </row>
    <row r="162" spans="1:4" x14ac:dyDescent="0.3">
      <c r="A162" t="s">
        <v>157</v>
      </c>
      <c r="B162" t="s">
        <v>461</v>
      </c>
      <c r="C162" t="s">
        <v>610</v>
      </c>
    </row>
    <row r="163" spans="1:4" x14ac:dyDescent="0.3">
      <c r="A163" t="s">
        <v>156</v>
      </c>
      <c r="B163" t="s">
        <v>611</v>
      </c>
      <c r="C163" t="s">
        <v>612</v>
      </c>
      <c r="D163" t="s">
        <v>613</v>
      </c>
    </row>
    <row r="164" spans="1:4" x14ac:dyDescent="0.3">
      <c r="A164" t="s">
        <v>164</v>
      </c>
      <c r="B164" t="s">
        <v>614</v>
      </c>
      <c r="C164" t="s">
        <v>615</v>
      </c>
      <c r="D164" t="s">
        <v>616</v>
      </c>
    </row>
    <row r="165" spans="1:4" x14ac:dyDescent="0.3">
      <c r="A165" t="s">
        <v>143</v>
      </c>
      <c r="B165" t="s">
        <v>617</v>
      </c>
      <c r="C165" t="s">
        <v>618</v>
      </c>
      <c r="D165" t="s">
        <v>619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3EB2-B568-4CD4-9E70-CEF21C00C946}">
  <dimension ref="A1:F327"/>
  <sheetViews>
    <sheetView tabSelected="1" workbookViewId="0">
      <selection activeCell="A179" sqref="A179"/>
    </sheetView>
  </sheetViews>
  <sheetFormatPr baseColWidth="10" defaultColWidth="11.44140625" defaultRowHeight="14.4" x14ac:dyDescent="0.3"/>
  <cols>
    <col min="1" max="1" width="12.88671875" bestFit="1" customWidth="1"/>
    <col min="2" max="2" width="18.6640625" bestFit="1" customWidth="1"/>
    <col min="3" max="4" width="19.6640625" bestFit="1" customWidth="1"/>
    <col min="5" max="5" width="89.6640625" bestFit="1" customWidth="1"/>
    <col min="6" max="6" width="13.33203125" bestFit="1" customWidth="1"/>
  </cols>
  <sheetData>
    <row r="1" spans="1:6" x14ac:dyDescent="0.3">
      <c r="A1" s="5" t="s">
        <v>620</v>
      </c>
      <c r="B1" s="5" t="s">
        <v>621</v>
      </c>
      <c r="C1" s="5" t="s">
        <v>622</v>
      </c>
      <c r="D1" s="5" t="s">
        <v>623</v>
      </c>
      <c r="E1" s="5" t="s">
        <v>624</v>
      </c>
      <c r="F1" s="5" t="s">
        <v>625</v>
      </c>
    </row>
    <row r="2" spans="1:6" x14ac:dyDescent="0.3">
      <c r="A2" t="s">
        <v>16</v>
      </c>
      <c r="B2" t="s">
        <v>626</v>
      </c>
      <c r="C2" t="s">
        <v>627</v>
      </c>
      <c r="D2" t="s">
        <v>628</v>
      </c>
      <c r="F2" t="s">
        <v>629</v>
      </c>
    </row>
    <row r="3" spans="1:6" x14ac:dyDescent="0.3">
      <c r="A3" t="s">
        <v>16</v>
      </c>
      <c r="B3" t="s">
        <v>626</v>
      </c>
      <c r="C3" t="s">
        <v>627</v>
      </c>
      <c r="D3" t="s">
        <v>630</v>
      </c>
      <c r="F3" t="s">
        <v>629</v>
      </c>
    </row>
    <row r="4" spans="1:6" x14ac:dyDescent="0.3">
      <c r="A4" t="s">
        <v>16</v>
      </c>
      <c r="B4" t="s">
        <v>626</v>
      </c>
      <c r="C4" t="s">
        <v>627</v>
      </c>
      <c r="D4" t="s">
        <v>631</v>
      </c>
      <c r="F4" t="s">
        <v>629</v>
      </c>
    </row>
    <row r="5" spans="1:6" x14ac:dyDescent="0.3">
      <c r="A5" t="s">
        <v>16</v>
      </c>
      <c r="B5" t="s">
        <v>626</v>
      </c>
      <c r="C5" t="s">
        <v>627</v>
      </c>
      <c r="D5" t="s">
        <v>632</v>
      </c>
      <c r="F5" t="s">
        <v>629</v>
      </c>
    </row>
    <row r="6" spans="1:6" x14ac:dyDescent="0.3">
      <c r="A6" t="s">
        <v>16</v>
      </c>
      <c r="B6" t="s">
        <v>626</v>
      </c>
      <c r="C6" t="s">
        <v>627</v>
      </c>
      <c r="D6" t="s">
        <v>633</v>
      </c>
      <c r="F6" t="s">
        <v>629</v>
      </c>
    </row>
    <row r="7" spans="1:6" x14ac:dyDescent="0.3">
      <c r="A7" t="s">
        <v>16</v>
      </c>
      <c r="B7" t="s">
        <v>626</v>
      </c>
      <c r="C7" t="s">
        <v>627</v>
      </c>
      <c r="D7" t="s">
        <v>634</v>
      </c>
      <c r="F7" t="s">
        <v>629</v>
      </c>
    </row>
    <row r="8" spans="1:6" x14ac:dyDescent="0.3">
      <c r="A8" t="s">
        <v>16</v>
      </c>
      <c r="B8" t="s">
        <v>626</v>
      </c>
      <c r="C8" t="s">
        <v>627</v>
      </c>
      <c r="D8" t="s">
        <v>635</v>
      </c>
      <c r="F8" t="s">
        <v>629</v>
      </c>
    </row>
    <row r="9" spans="1:6" x14ac:dyDescent="0.3">
      <c r="A9" t="s">
        <v>16</v>
      </c>
      <c r="B9" t="s">
        <v>626</v>
      </c>
      <c r="C9" t="s">
        <v>627</v>
      </c>
      <c r="D9" t="s">
        <v>636</v>
      </c>
      <c r="F9" t="s">
        <v>629</v>
      </c>
    </row>
    <row r="10" spans="1:6" x14ac:dyDescent="0.3">
      <c r="A10" t="s">
        <v>16</v>
      </c>
      <c r="B10" t="s">
        <v>626</v>
      </c>
      <c r="C10" t="s">
        <v>627</v>
      </c>
      <c r="D10" t="s">
        <v>637</v>
      </c>
      <c r="F10" t="s">
        <v>629</v>
      </c>
    </row>
    <row r="11" spans="1:6" x14ac:dyDescent="0.3">
      <c r="A11" t="s">
        <v>16</v>
      </c>
      <c r="B11" t="s">
        <v>626</v>
      </c>
      <c r="C11" t="s">
        <v>627</v>
      </c>
      <c r="D11" t="s">
        <v>638</v>
      </c>
      <c r="F11" t="s">
        <v>629</v>
      </c>
    </row>
    <row r="12" spans="1:6" x14ac:dyDescent="0.3">
      <c r="A12" t="s">
        <v>32</v>
      </c>
      <c r="C12" t="s">
        <v>639</v>
      </c>
      <c r="D12" t="s">
        <v>640</v>
      </c>
      <c r="F12" t="s">
        <v>629</v>
      </c>
    </row>
    <row r="13" spans="1:6" x14ac:dyDescent="0.3">
      <c r="A13" t="s">
        <v>32</v>
      </c>
      <c r="C13" t="s">
        <v>639</v>
      </c>
      <c r="D13" t="s">
        <v>641</v>
      </c>
      <c r="F13" t="s">
        <v>629</v>
      </c>
    </row>
    <row r="14" spans="1:6" x14ac:dyDescent="0.3">
      <c r="A14" t="s">
        <v>32</v>
      </c>
      <c r="C14" t="s">
        <v>639</v>
      </c>
      <c r="D14" t="s">
        <v>642</v>
      </c>
      <c r="F14" t="s">
        <v>629</v>
      </c>
    </row>
    <row r="15" spans="1:6" x14ac:dyDescent="0.3">
      <c r="A15" t="s">
        <v>32</v>
      </c>
      <c r="C15" t="s">
        <v>639</v>
      </c>
      <c r="D15" t="s">
        <v>643</v>
      </c>
      <c r="F15" t="s">
        <v>629</v>
      </c>
    </row>
    <row r="16" spans="1:6" x14ac:dyDescent="0.3">
      <c r="A16" t="s">
        <v>32</v>
      </c>
      <c r="C16" t="s">
        <v>639</v>
      </c>
      <c r="D16" t="s">
        <v>644</v>
      </c>
      <c r="F16" t="s">
        <v>629</v>
      </c>
    </row>
    <row r="17" spans="1:6" x14ac:dyDescent="0.3">
      <c r="A17" t="s">
        <v>32</v>
      </c>
      <c r="C17" t="s">
        <v>639</v>
      </c>
      <c r="D17" t="s">
        <v>645</v>
      </c>
      <c r="F17" t="s">
        <v>629</v>
      </c>
    </row>
    <row r="18" spans="1:6" x14ac:dyDescent="0.3">
      <c r="A18" t="s">
        <v>128</v>
      </c>
      <c r="B18" t="s">
        <v>533</v>
      </c>
      <c r="C18" t="s">
        <v>646</v>
      </c>
      <c r="D18" t="s">
        <v>647</v>
      </c>
      <c r="E18" t="s">
        <v>648</v>
      </c>
      <c r="F18" t="s">
        <v>629</v>
      </c>
    </row>
    <row r="19" spans="1:6" x14ac:dyDescent="0.3">
      <c r="A19" t="s">
        <v>128</v>
      </c>
      <c r="B19" t="s">
        <v>533</v>
      </c>
      <c r="C19" t="s">
        <v>646</v>
      </c>
      <c r="D19" t="s">
        <v>649</v>
      </c>
      <c r="E19" t="s">
        <v>648</v>
      </c>
      <c r="F19" t="s">
        <v>629</v>
      </c>
    </row>
    <row r="20" spans="1:6" x14ac:dyDescent="0.3">
      <c r="A20" t="s">
        <v>128</v>
      </c>
      <c r="B20" t="s">
        <v>533</v>
      </c>
      <c r="C20" t="s">
        <v>646</v>
      </c>
      <c r="D20" t="s">
        <v>650</v>
      </c>
      <c r="E20" t="s">
        <v>648</v>
      </c>
      <c r="F20" t="s">
        <v>629</v>
      </c>
    </row>
    <row r="21" spans="1:6" x14ac:dyDescent="0.3">
      <c r="A21" t="s">
        <v>128</v>
      </c>
      <c r="B21" t="s">
        <v>533</v>
      </c>
      <c r="C21" t="s">
        <v>646</v>
      </c>
      <c r="D21" t="s">
        <v>651</v>
      </c>
      <c r="E21" t="s">
        <v>648</v>
      </c>
      <c r="F21" t="s">
        <v>629</v>
      </c>
    </row>
    <row r="22" spans="1:6" x14ac:dyDescent="0.3">
      <c r="A22" t="s">
        <v>128</v>
      </c>
      <c r="B22" t="s">
        <v>533</v>
      </c>
      <c r="C22" t="s">
        <v>646</v>
      </c>
      <c r="D22" t="s">
        <v>652</v>
      </c>
      <c r="E22" t="s">
        <v>648</v>
      </c>
      <c r="F22" t="s">
        <v>629</v>
      </c>
    </row>
    <row r="23" spans="1:6" x14ac:dyDescent="0.3">
      <c r="A23" t="s">
        <v>128</v>
      </c>
      <c r="B23" t="s">
        <v>533</v>
      </c>
      <c r="C23" t="s">
        <v>646</v>
      </c>
      <c r="D23" t="s">
        <v>653</v>
      </c>
      <c r="E23" t="s">
        <v>648</v>
      </c>
      <c r="F23" t="s">
        <v>629</v>
      </c>
    </row>
    <row r="24" spans="1:6" x14ac:dyDescent="0.3">
      <c r="A24" t="s">
        <v>128</v>
      </c>
      <c r="B24" t="s">
        <v>533</v>
      </c>
      <c r="C24" t="s">
        <v>646</v>
      </c>
      <c r="D24" t="s">
        <v>654</v>
      </c>
      <c r="E24" t="s">
        <v>648</v>
      </c>
      <c r="F24" t="s">
        <v>629</v>
      </c>
    </row>
    <row r="25" spans="1:6" x14ac:dyDescent="0.3">
      <c r="A25" t="s">
        <v>128</v>
      </c>
      <c r="B25" t="s">
        <v>533</v>
      </c>
      <c r="C25" t="s">
        <v>646</v>
      </c>
      <c r="D25" t="s">
        <v>655</v>
      </c>
      <c r="E25" t="s">
        <v>648</v>
      </c>
      <c r="F25" t="s">
        <v>629</v>
      </c>
    </row>
    <row r="26" spans="1:6" x14ac:dyDescent="0.3">
      <c r="A26" t="s">
        <v>84</v>
      </c>
      <c r="B26" t="s">
        <v>378</v>
      </c>
      <c r="C26" t="s">
        <v>656</v>
      </c>
      <c r="D26" t="s">
        <v>657</v>
      </c>
      <c r="E26" t="s">
        <v>658</v>
      </c>
      <c r="F26" t="s">
        <v>629</v>
      </c>
    </row>
    <row r="27" spans="1:6" x14ac:dyDescent="0.3">
      <c r="A27" t="s">
        <v>65</v>
      </c>
      <c r="B27" t="s">
        <v>431</v>
      </c>
      <c r="C27" t="s">
        <v>659</v>
      </c>
      <c r="D27" t="s">
        <v>660</v>
      </c>
      <c r="E27" t="s">
        <v>661</v>
      </c>
      <c r="F27" t="s">
        <v>629</v>
      </c>
    </row>
    <row r="28" spans="1:6" x14ac:dyDescent="0.3">
      <c r="A28" t="s">
        <v>65</v>
      </c>
      <c r="B28" t="s">
        <v>431</v>
      </c>
      <c r="C28" t="s">
        <v>659</v>
      </c>
      <c r="D28" t="s">
        <v>662</v>
      </c>
      <c r="E28" t="s">
        <v>661</v>
      </c>
      <c r="F28" t="s">
        <v>629</v>
      </c>
    </row>
    <row r="29" spans="1:6" x14ac:dyDescent="0.3">
      <c r="A29" t="s">
        <v>65</v>
      </c>
      <c r="B29" t="s">
        <v>431</v>
      </c>
      <c r="C29" t="s">
        <v>659</v>
      </c>
      <c r="D29" t="s">
        <v>663</v>
      </c>
      <c r="E29" t="s">
        <v>661</v>
      </c>
      <c r="F29" t="s">
        <v>629</v>
      </c>
    </row>
    <row r="30" spans="1:6" x14ac:dyDescent="0.3">
      <c r="A30" t="s">
        <v>65</v>
      </c>
      <c r="B30" t="s">
        <v>431</v>
      </c>
      <c r="C30" t="s">
        <v>659</v>
      </c>
      <c r="D30" t="s">
        <v>664</v>
      </c>
      <c r="E30" t="s">
        <v>661</v>
      </c>
      <c r="F30" t="s">
        <v>629</v>
      </c>
    </row>
    <row r="31" spans="1:6" x14ac:dyDescent="0.3">
      <c r="A31" t="s">
        <v>110</v>
      </c>
      <c r="B31" t="s">
        <v>403</v>
      </c>
      <c r="C31" t="s">
        <v>665</v>
      </c>
      <c r="D31" t="s">
        <v>666</v>
      </c>
      <c r="E31" t="s">
        <v>667</v>
      </c>
      <c r="F31" t="s">
        <v>629</v>
      </c>
    </row>
    <row r="32" spans="1:6" x14ac:dyDescent="0.3">
      <c r="A32" t="s">
        <v>110</v>
      </c>
      <c r="B32" t="s">
        <v>403</v>
      </c>
      <c r="C32" t="s">
        <v>665</v>
      </c>
      <c r="D32" t="s">
        <v>668</v>
      </c>
      <c r="E32" t="s">
        <v>667</v>
      </c>
      <c r="F32" t="s">
        <v>629</v>
      </c>
    </row>
    <row r="33" spans="1:6" x14ac:dyDescent="0.3">
      <c r="A33" t="s">
        <v>110</v>
      </c>
      <c r="B33" t="s">
        <v>403</v>
      </c>
      <c r="C33" t="s">
        <v>665</v>
      </c>
      <c r="D33" t="s">
        <v>669</v>
      </c>
      <c r="E33" t="s">
        <v>667</v>
      </c>
      <c r="F33" t="s">
        <v>629</v>
      </c>
    </row>
    <row r="34" spans="1:6" x14ac:dyDescent="0.3">
      <c r="A34" t="s">
        <v>91</v>
      </c>
      <c r="B34" t="s">
        <v>314</v>
      </c>
      <c r="C34" t="s">
        <v>670</v>
      </c>
      <c r="D34" t="s">
        <v>671</v>
      </c>
      <c r="E34" t="s">
        <v>672</v>
      </c>
      <c r="F34" t="s">
        <v>629</v>
      </c>
    </row>
    <row r="35" spans="1:6" x14ac:dyDescent="0.3">
      <c r="A35" t="s">
        <v>91</v>
      </c>
      <c r="B35" t="s">
        <v>314</v>
      </c>
      <c r="C35" t="s">
        <v>670</v>
      </c>
      <c r="D35" t="s">
        <v>673</v>
      </c>
      <c r="E35" t="s">
        <v>672</v>
      </c>
      <c r="F35" t="s">
        <v>629</v>
      </c>
    </row>
    <row r="36" spans="1:6" x14ac:dyDescent="0.3">
      <c r="A36" t="s">
        <v>91</v>
      </c>
      <c r="B36" t="s">
        <v>314</v>
      </c>
      <c r="C36" t="s">
        <v>670</v>
      </c>
      <c r="D36" t="s">
        <v>674</v>
      </c>
      <c r="E36" t="s">
        <v>672</v>
      </c>
      <c r="F36" t="s">
        <v>629</v>
      </c>
    </row>
    <row r="37" spans="1:6" x14ac:dyDescent="0.3">
      <c r="A37" t="s">
        <v>151</v>
      </c>
      <c r="B37" t="s">
        <v>320</v>
      </c>
      <c r="C37" t="s">
        <v>675</v>
      </c>
      <c r="D37" t="s">
        <v>676</v>
      </c>
      <c r="F37" t="s">
        <v>629</v>
      </c>
    </row>
    <row r="38" spans="1:6" x14ac:dyDescent="0.3">
      <c r="A38" t="s">
        <v>151</v>
      </c>
      <c r="B38" t="s">
        <v>320</v>
      </c>
      <c r="C38" t="s">
        <v>675</v>
      </c>
      <c r="D38" t="s">
        <v>677</v>
      </c>
      <c r="F38" t="s">
        <v>629</v>
      </c>
    </row>
    <row r="39" spans="1:6" x14ac:dyDescent="0.3">
      <c r="A39" t="s">
        <v>151</v>
      </c>
      <c r="B39" t="s">
        <v>320</v>
      </c>
      <c r="C39" t="s">
        <v>675</v>
      </c>
      <c r="D39" t="s">
        <v>678</v>
      </c>
      <c r="F39" t="s">
        <v>629</v>
      </c>
    </row>
    <row r="40" spans="1:6" x14ac:dyDescent="0.3">
      <c r="A40" t="s">
        <v>83</v>
      </c>
      <c r="B40" t="s">
        <v>230</v>
      </c>
      <c r="C40" t="s">
        <v>679</v>
      </c>
      <c r="D40" t="s">
        <v>680</v>
      </c>
      <c r="E40" t="s">
        <v>681</v>
      </c>
      <c r="F40" t="s">
        <v>629</v>
      </c>
    </row>
    <row r="41" spans="1:6" x14ac:dyDescent="0.3">
      <c r="A41" t="s">
        <v>83</v>
      </c>
      <c r="B41" t="s">
        <v>230</v>
      </c>
      <c r="C41" t="s">
        <v>679</v>
      </c>
      <c r="D41" t="s">
        <v>682</v>
      </c>
      <c r="E41" t="s">
        <v>681</v>
      </c>
      <c r="F41" t="s">
        <v>629</v>
      </c>
    </row>
    <row r="42" spans="1:6" x14ac:dyDescent="0.3">
      <c r="A42" t="s">
        <v>83</v>
      </c>
      <c r="B42" t="s">
        <v>230</v>
      </c>
      <c r="C42" t="s">
        <v>679</v>
      </c>
      <c r="D42" t="s">
        <v>683</v>
      </c>
      <c r="E42" t="s">
        <v>681</v>
      </c>
      <c r="F42" t="s">
        <v>629</v>
      </c>
    </row>
    <row r="43" spans="1:6" x14ac:dyDescent="0.3">
      <c r="A43" t="s">
        <v>83</v>
      </c>
      <c r="B43" t="s">
        <v>230</v>
      </c>
      <c r="C43" t="s">
        <v>679</v>
      </c>
      <c r="D43" t="s">
        <v>684</v>
      </c>
      <c r="E43" t="s">
        <v>681</v>
      </c>
      <c r="F43" t="s">
        <v>629</v>
      </c>
    </row>
    <row r="44" spans="1:6" x14ac:dyDescent="0.3">
      <c r="A44" t="s">
        <v>83</v>
      </c>
      <c r="B44" t="s">
        <v>230</v>
      </c>
      <c r="C44" t="s">
        <v>679</v>
      </c>
      <c r="D44" t="s">
        <v>685</v>
      </c>
      <c r="E44" t="s">
        <v>681</v>
      </c>
      <c r="F44" t="s">
        <v>629</v>
      </c>
    </row>
    <row r="45" spans="1:6" x14ac:dyDescent="0.3">
      <c r="A45" t="s">
        <v>56</v>
      </c>
      <c r="B45" t="s">
        <v>233</v>
      </c>
      <c r="C45" t="s">
        <v>686</v>
      </c>
      <c r="D45" t="s">
        <v>687</v>
      </c>
      <c r="E45" t="s">
        <v>688</v>
      </c>
      <c r="F45" t="s">
        <v>629</v>
      </c>
    </row>
    <row r="46" spans="1:6" x14ac:dyDescent="0.3">
      <c r="A46" t="s">
        <v>56</v>
      </c>
      <c r="B46" t="s">
        <v>233</v>
      </c>
      <c r="C46" t="s">
        <v>686</v>
      </c>
      <c r="D46" t="s">
        <v>689</v>
      </c>
      <c r="E46" t="s">
        <v>688</v>
      </c>
      <c r="F46" t="s">
        <v>629</v>
      </c>
    </row>
    <row r="47" spans="1:6" x14ac:dyDescent="0.3">
      <c r="A47" t="s">
        <v>56</v>
      </c>
      <c r="B47" t="s">
        <v>233</v>
      </c>
      <c r="C47" t="s">
        <v>686</v>
      </c>
      <c r="D47" t="s">
        <v>690</v>
      </c>
      <c r="E47" t="s">
        <v>688</v>
      </c>
      <c r="F47" t="s">
        <v>629</v>
      </c>
    </row>
    <row r="48" spans="1:6" x14ac:dyDescent="0.3">
      <c r="A48" t="s">
        <v>56</v>
      </c>
      <c r="B48" t="s">
        <v>233</v>
      </c>
      <c r="C48" t="s">
        <v>686</v>
      </c>
      <c r="D48" t="s">
        <v>691</v>
      </c>
      <c r="E48" t="s">
        <v>688</v>
      </c>
      <c r="F48" t="s">
        <v>629</v>
      </c>
    </row>
    <row r="49" spans="1:6" x14ac:dyDescent="0.3">
      <c r="A49" t="s">
        <v>56</v>
      </c>
      <c r="B49" t="s">
        <v>233</v>
      </c>
      <c r="C49" t="s">
        <v>686</v>
      </c>
      <c r="D49" t="s">
        <v>692</v>
      </c>
      <c r="E49" t="s">
        <v>688</v>
      </c>
      <c r="F49" t="s">
        <v>629</v>
      </c>
    </row>
    <row r="50" spans="1:6" x14ac:dyDescent="0.3">
      <c r="A50" t="s">
        <v>56</v>
      </c>
      <c r="B50" t="s">
        <v>233</v>
      </c>
      <c r="C50" t="s">
        <v>686</v>
      </c>
      <c r="D50" t="s">
        <v>693</v>
      </c>
      <c r="E50" t="s">
        <v>688</v>
      </c>
      <c r="F50" t="s">
        <v>629</v>
      </c>
    </row>
    <row r="51" spans="1:6" x14ac:dyDescent="0.3">
      <c r="A51" t="s">
        <v>137</v>
      </c>
      <c r="C51" t="s">
        <v>639</v>
      </c>
      <c r="D51" t="s">
        <v>640</v>
      </c>
      <c r="F51" t="s">
        <v>629</v>
      </c>
    </row>
    <row r="52" spans="1:6" x14ac:dyDescent="0.3">
      <c r="A52" t="s">
        <v>137</v>
      </c>
      <c r="C52" t="s">
        <v>639</v>
      </c>
      <c r="D52" t="s">
        <v>641</v>
      </c>
      <c r="F52" t="s">
        <v>629</v>
      </c>
    </row>
    <row r="53" spans="1:6" x14ac:dyDescent="0.3">
      <c r="A53" t="s">
        <v>137</v>
      </c>
      <c r="C53" t="s">
        <v>639</v>
      </c>
      <c r="D53" t="s">
        <v>642</v>
      </c>
      <c r="F53" t="s">
        <v>629</v>
      </c>
    </row>
    <row r="54" spans="1:6" x14ac:dyDescent="0.3">
      <c r="A54" t="s">
        <v>137</v>
      </c>
      <c r="C54" t="s">
        <v>639</v>
      </c>
      <c r="D54" t="s">
        <v>643</v>
      </c>
      <c r="F54" t="s">
        <v>629</v>
      </c>
    </row>
    <row r="55" spans="1:6" x14ac:dyDescent="0.3">
      <c r="A55" t="s">
        <v>137</v>
      </c>
      <c r="C55" t="s">
        <v>639</v>
      </c>
      <c r="D55" t="s">
        <v>644</v>
      </c>
      <c r="F55" t="s">
        <v>629</v>
      </c>
    </row>
    <row r="56" spans="1:6" x14ac:dyDescent="0.3">
      <c r="A56" t="s">
        <v>137</v>
      </c>
      <c r="C56" t="s">
        <v>639</v>
      </c>
      <c r="D56" t="s">
        <v>645</v>
      </c>
      <c r="F56" t="s">
        <v>629</v>
      </c>
    </row>
    <row r="57" spans="1:6" x14ac:dyDescent="0.3">
      <c r="A57" t="s">
        <v>119</v>
      </c>
      <c r="B57" t="s">
        <v>345</v>
      </c>
      <c r="C57" t="s">
        <v>694</v>
      </c>
      <c r="D57" t="s">
        <v>695</v>
      </c>
      <c r="E57" t="s">
        <v>696</v>
      </c>
      <c r="F57" t="s">
        <v>629</v>
      </c>
    </row>
    <row r="58" spans="1:6" x14ac:dyDescent="0.3">
      <c r="A58" t="s">
        <v>62</v>
      </c>
      <c r="B58" t="s">
        <v>571</v>
      </c>
      <c r="C58" t="s">
        <v>697</v>
      </c>
      <c r="D58" t="s">
        <v>698</v>
      </c>
      <c r="E58" t="s">
        <v>699</v>
      </c>
      <c r="F58" t="s">
        <v>629</v>
      </c>
    </row>
    <row r="59" spans="1:6" x14ac:dyDescent="0.3">
      <c r="A59" t="s">
        <v>40</v>
      </c>
      <c r="B59" t="s">
        <v>398</v>
      </c>
      <c r="C59" t="s">
        <v>700</v>
      </c>
      <c r="D59" t="s">
        <v>701</v>
      </c>
      <c r="E59" t="s">
        <v>702</v>
      </c>
      <c r="F59" t="s">
        <v>629</v>
      </c>
    </row>
    <row r="60" spans="1:6" x14ac:dyDescent="0.3">
      <c r="A60" t="s">
        <v>61</v>
      </c>
      <c r="B60" t="s">
        <v>703</v>
      </c>
      <c r="C60" t="s">
        <v>704</v>
      </c>
      <c r="D60" t="s">
        <v>705</v>
      </c>
      <c r="F60" t="s">
        <v>629</v>
      </c>
    </row>
    <row r="61" spans="1:6" x14ac:dyDescent="0.3">
      <c r="A61" t="s">
        <v>61</v>
      </c>
      <c r="B61" t="s">
        <v>703</v>
      </c>
      <c r="C61" t="s">
        <v>704</v>
      </c>
      <c r="D61" t="s">
        <v>706</v>
      </c>
      <c r="F61" t="s">
        <v>629</v>
      </c>
    </row>
    <row r="62" spans="1:6" x14ac:dyDescent="0.3">
      <c r="A62" t="s">
        <v>61</v>
      </c>
      <c r="B62" t="s">
        <v>703</v>
      </c>
      <c r="C62" t="s">
        <v>704</v>
      </c>
      <c r="D62" t="s">
        <v>707</v>
      </c>
      <c r="F62" t="s">
        <v>629</v>
      </c>
    </row>
    <row r="63" spans="1:6" x14ac:dyDescent="0.3">
      <c r="A63" t="s">
        <v>61</v>
      </c>
      <c r="B63" t="s">
        <v>703</v>
      </c>
      <c r="C63" t="s">
        <v>704</v>
      </c>
      <c r="D63" t="s">
        <v>708</v>
      </c>
      <c r="F63" t="s">
        <v>629</v>
      </c>
    </row>
    <row r="64" spans="1:6" x14ac:dyDescent="0.3">
      <c r="A64" t="s">
        <v>61</v>
      </c>
      <c r="B64" t="s">
        <v>703</v>
      </c>
      <c r="C64" t="s">
        <v>704</v>
      </c>
      <c r="D64" t="s">
        <v>709</v>
      </c>
      <c r="F64" t="s">
        <v>629</v>
      </c>
    </row>
    <row r="65" spans="1:6" x14ac:dyDescent="0.3">
      <c r="A65" t="s">
        <v>162</v>
      </c>
      <c r="B65" t="s">
        <v>604</v>
      </c>
      <c r="C65" t="s">
        <v>710</v>
      </c>
      <c r="D65" t="s">
        <v>711</v>
      </c>
      <c r="E65" t="s">
        <v>712</v>
      </c>
      <c r="F65" t="s">
        <v>629</v>
      </c>
    </row>
    <row r="66" spans="1:6" x14ac:dyDescent="0.3">
      <c r="A66" t="s">
        <v>162</v>
      </c>
      <c r="B66" t="s">
        <v>604</v>
      </c>
      <c r="C66" t="s">
        <v>710</v>
      </c>
      <c r="D66" t="s">
        <v>713</v>
      </c>
      <c r="E66" t="s">
        <v>712</v>
      </c>
      <c r="F66" t="s">
        <v>629</v>
      </c>
    </row>
    <row r="67" spans="1:6" x14ac:dyDescent="0.3">
      <c r="A67" t="s">
        <v>162</v>
      </c>
      <c r="B67" t="s">
        <v>604</v>
      </c>
      <c r="C67" t="s">
        <v>710</v>
      </c>
      <c r="D67" t="s">
        <v>714</v>
      </c>
      <c r="E67" t="s">
        <v>712</v>
      </c>
      <c r="F67" t="s">
        <v>629</v>
      </c>
    </row>
    <row r="68" spans="1:6" x14ac:dyDescent="0.3">
      <c r="A68" t="s">
        <v>11</v>
      </c>
      <c r="B68" t="s">
        <v>495</v>
      </c>
      <c r="C68" t="s">
        <v>715</v>
      </c>
      <c r="D68" t="s">
        <v>716</v>
      </c>
      <c r="E68" t="s">
        <v>717</v>
      </c>
      <c r="F68" t="s">
        <v>629</v>
      </c>
    </row>
    <row r="69" spans="1:6" x14ac:dyDescent="0.3">
      <c r="A69" t="s">
        <v>126</v>
      </c>
      <c r="B69" t="s">
        <v>350</v>
      </c>
      <c r="C69" t="s">
        <v>718</v>
      </c>
      <c r="D69" t="s">
        <v>719</v>
      </c>
      <c r="E69" t="s">
        <v>720</v>
      </c>
      <c r="F69" t="s">
        <v>629</v>
      </c>
    </row>
    <row r="70" spans="1:6" x14ac:dyDescent="0.3">
      <c r="A70" t="s">
        <v>126</v>
      </c>
      <c r="B70" t="s">
        <v>350</v>
      </c>
      <c r="C70" t="s">
        <v>718</v>
      </c>
      <c r="D70" t="s">
        <v>721</v>
      </c>
      <c r="E70" t="s">
        <v>720</v>
      </c>
      <c r="F70" t="s">
        <v>629</v>
      </c>
    </row>
    <row r="71" spans="1:6" x14ac:dyDescent="0.3">
      <c r="A71" t="s">
        <v>157</v>
      </c>
      <c r="B71" t="s">
        <v>461</v>
      </c>
      <c r="C71" t="s">
        <v>722</v>
      </c>
      <c r="D71" t="s">
        <v>723</v>
      </c>
      <c r="F71" t="s">
        <v>629</v>
      </c>
    </row>
    <row r="72" spans="1:6" x14ac:dyDescent="0.3">
      <c r="A72" t="s">
        <v>157</v>
      </c>
      <c r="B72" t="s">
        <v>461</v>
      </c>
      <c r="C72" t="s">
        <v>722</v>
      </c>
      <c r="D72" t="s">
        <v>724</v>
      </c>
      <c r="F72" t="s">
        <v>629</v>
      </c>
    </row>
    <row r="73" spans="1:6" x14ac:dyDescent="0.3">
      <c r="A73" t="s">
        <v>157</v>
      </c>
      <c r="B73" t="s">
        <v>461</v>
      </c>
      <c r="C73" t="s">
        <v>722</v>
      </c>
      <c r="D73" t="s">
        <v>725</v>
      </c>
      <c r="F73" t="s">
        <v>629</v>
      </c>
    </row>
    <row r="74" spans="1:6" x14ac:dyDescent="0.3">
      <c r="A74" t="s">
        <v>157</v>
      </c>
      <c r="B74" t="s">
        <v>461</v>
      </c>
      <c r="C74" t="s">
        <v>722</v>
      </c>
      <c r="D74" t="s">
        <v>726</v>
      </c>
      <c r="F74" t="s">
        <v>629</v>
      </c>
    </row>
    <row r="75" spans="1:6" x14ac:dyDescent="0.3">
      <c r="A75" t="s">
        <v>157</v>
      </c>
      <c r="B75" t="s">
        <v>461</v>
      </c>
      <c r="C75" t="s">
        <v>722</v>
      </c>
      <c r="D75" t="s">
        <v>727</v>
      </c>
      <c r="F75" t="s">
        <v>629</v>
      </c>
    </row>
    <row r="76" spans="1:6" x14ac:dyDescent="0.3">
      <c r="A76" t="s">
        <v>157</v>
      </c>
      <c r="B76" t="s">
        <v>461</v>
      </c>
      <c r="C76" t="s">
        <v>722</v>
      </c>
      <c r="D76" t="s">
        <v>728</v>
      </c>
      <c r="F76" t="s">
        <v>629</v>
      </c>
    </row>
    <row r="77" spans="1:6" x14ac:dyDescent="0.3">
      <c r="A77" t="s">
        <v>108</v>
      </c>
      <c r="B77" t="s">
        <v>335</v>
      </c>
      <c r="C77" t="s">
        <v>729</v>
      </c>
      <c r="D77" t="s">
        <v>730</v>
      </c>
      <c r="E77" t="s">
        <v>731</v>
      </c>
      <c r="F77" t="s">
        <v>629</v>
      </c>
    </row>
    <row r="78" spans="1:6" x14ac:dyDescent="0.3">
      <c r="A78" t="s">
        <v>108</v>
      </c>
      <c r="B78" t="s">
        <v>335</v>
      </c>
      <c r="C78" t="s">
        <v>729</v>
      </c>
      <c r="D78" t="s">
        <v>732</v>
      </c>
      <c r="E78" t="s">
        <v>731</v>
      </c>
      <c r="F78" t="s">
        <v>629</v>
      </c>
    </row>
    <row r="79" spans="1:6" x14ac:dyDescent="0.3">
      <c r="A79" t="s">
        <v>108</v>
      </c>
      <c r="B79" t="s">
        <v>335</v>
      </c>
      <c r="C79" t="s">
        <v>729</v>
      </c>
      <c r="D79" t="s">
        <v>733</v>
      </c>
      <c r="E79" t="s">
        <v>731</v>
      </c>
      <c r="F79" t="s">
        <v>629</v>
      </c>
    </row>
    <row r="80" spans="1:6" x14ac:dyDescent="0.3">
      <c r="A80" t="s">
        <v>76</v>
      </c>
      <c r="C80" t="s">
        <v>734</v>
      </c>
      <c r="D80" t="s">
        <v>735</v>
      </c>
      <c r="F80" t="s">
        <v>629</v>
      </c>
    </row>
    <row r="81" spans="1:6" x14ac:dyDescent="0.3">
      <c r="A81" t="s">
        <v>160</v>
      </c>
      <c r="B81" t="s">
        <v>568</v>
      </c>
      <c r="C81" t="s">
        <v>736</v>
      </c>
      <c r="D81" t="s">
        <v>737</v>
      </c>
      <c r="E81" t="s">
        <v>738</v>
      </c>
      <c r="F81" t="s">
        <v>629</v>
      </c>
    </row>
    <row r="82" spans="1:6" x14ac:dyDescent="0.3">
      <c r="A82" t="s">
        <v>160</v>
      </c>
      <c r="B82" t="s">
        <v>568</v>
      </c>
      <c r="C82" t="s">
        <v>736</v>
      </c>
      <c r="D82" t="s">
        <v>739</v>
      </c>
      <c r="E82" t="s">
        <v>738</v>
      </c>
      <c r="F82" t="s">
        <v>629</v>
      </c>
    </row>
    <row r="83" spans="1:6" x14ac:dyDescent="0.3">
      <c r="A83" t="s">
        <v>160</v>
      </c>
      <c r="B83" t="s">
        <v>568</v>
      </c>
      <c r="C83" t="s">
        <v>736</v>
      </c>
      <c r="D83" t="s">
        <v>740</v>
      </c>
      <c r="E83" t="s">
        <v>738</v>
      </c>
      <c r="F83" t="s">
        <v>629</v>
      </c>
    </row>
    <row r="84" spans="1:6" x14ac:dyDescent="0.3">
      <c r="A84" t="s">
        <v>160</v>
      </c>
      <c r="B84" t="s">
        <v>568</v>
      </c>
      <c r="C84" t="s">
        <v>736</v>
      </c>
      <c r="D84" t="s">
        <v>741</v>
      </c>
      <c r="E84" t="s">
        <v>738</v>
      </c>
      <c r="F84" t="s">
        <v>629</v>
      </c>
    </row>
    <row r="85" spans="1:6" x14ac:dyDescent="0.3">
      <c r="A85" t="s">
        <v>12</v>
      </c>
      <c r="B85" t="s">
        <v>461</v>
      </c>
      <c r="C85" t="s">
        <v>722</v>
      </c>
      <c r="D85" t="s">
        <v>723</v>
      </c>
      <c r="F85" t="s">
        <v>629</v>
      </c>
    </row>
    <row r="86" spans="1:6" x14ac:dyDescent="0.3">
      <c r="A86" t="s">
        <v>12</v>
      </c>
      <c r="B86" t="s">
        <v>461</v>
      </c>
      <c r="C86" t="s">
        <v>722</v>
      </c>
      <c r="D86" t="s">
        <v>724</v>
      </c>
      <c r="F86" t="s">
        <v>629</v>
      </c>
    </row>
    <row r="87" spans="1:6" x14ac:dyDescent="0.3">
      <c r="A87" t="s">
        <v>12</v>
      </c>
      <c r="B87" t="s">
        <v>461</v>
      </c>
      <c r="C87" t="s">
        <v>722</v>
      </c>
      <c r="D87" t="s">
        <v>725</v>
      </c>
      <c r="F87" t="s">
        <v>629</v>
      </c>
    </row>
    <row r="88" spans="1:6" x14ac:dyDescent="0.3">
      <c r="A88" t="s">
        <v>12</v>
      </c>
      <c r="B88" t="s">
        <v>461</v>
      </c>
      <c r="C88" t="s">
        <v>722</v>
      </c>
      <c r="D88" t="s">
        <v>726</v>
      </c>
      <c r="F88" t="s">
        <v>629</v>
      </c>
    </row>
    <row r="89" spans="1:6" x14ac:dyDescent="0.3">
      <c r="A89" t="s">
        <v>12</v>
      </c>
      <c r="B89" t="s">
        <v>461</v>
      </c>
      <c r="C89" t="s">
        <v>722</v>
      </c>
      <c r="D89" t="s">
        <v>727</v>
      </c>
      <c r="F89" t="s">
        <v>629</v>
      </c>
    </row>
    <row r="90" spans="1:6" x14ac:dyDescent="0.3">
      <c r="A90" t="s">
        <v>12</v>
      </c>
      <c r="B90" t="s">
        <v>461</v>
      </c>
      <c r="C90" t="s">
        <v>722</v>
      </c>
      <c r="D90" t="s">
        <v>728</v>
      </c>
      <c r="F90" t="s">
        <v>629</v>
      </c>
    </row>
    <row r="91" spans="1:6" x14ac:dyDescent="0.3">
      <c r="A91" t="s">
        <v>156</v>
      </c>
      <c r="B91" t="s">
        <v>611</v>
      </c>
      <c r="C91" t="s">
        <v>742</v>
      </c>
      <c r="D91" t="s">
        <v>743</v>
      </c>
      <c r="E91" t="s">
        <v>744</v>
      </c>
      <c r="F91" t="s">
        <v>629</v>
      </c>
    </row>
    <row r="92" spans="1:6" x14ac:dyDescent="0.3">
      <c r="A92" t="s">
        <v>156</v>
      </c>
      <c r="B92" t="s">
        <v>611</v>
      </c>
      <c r="C92" t="s">
        <v>742</v>
      </c>
      <c r="D92" t="s">
        <v>745</v>
      </c>
      <c r="E92" t="s">
        <v>744</v>
      </c>
      <c r="F92" t="s">
        <v>629</v>
      </c>
    </row>
    <row r="93" spans="1:6" x14ac:dyDescent="0.3">
      <c r="A93" t="s">
        <v>156</v>
      </c>
      <c r="B93" t="s">
        <v>611</v>
      </c>
      <c r="C93" t="s">
        <v>742</v>
      </c>
      <c r="D93" t="s">
        <v>746</v>
      </c>
      <c r="E93" t="s">
        <v>744</v>
      </c>
      <c r="F93" t="s">
        <v>629</v>
      </c>
    </row>
    <row r="94" spans="1:6" x14ac:dyDescent="0.3">
      <c r="A94" t="s">
        <v>156</v>
      </c>
      <c r="B94" t="s">
        <v>611</v>
      </c>
      <c r="C94" t="s">
        <v>742</v>
      </c>
      <c r="D94" t="s">
        <v>747</v>
      </c>
      <c r="E94" t="s">
        <v>744</v>
      </c>
      <c r="F94" t="s">
        <v>629</v>
      </c>
    </row>
    <row r="95" spans="1:6" x14ac:dyDescent="0.3">
      <c r="A95" t="s">
        <v>156</v>
      </c>
      <c r="B95" t="s">
        <v>611</v>
      </c>
      <c r="C95" t="s">
        <v>742</v>
      </c>
      <c r="D95" t="s">
        <v>748</v>
      </c>
      <c r="E95" t="s">
        <v>744</v>
      </c>
      <c r="F95" t="s">
        <v>629</v>
      </c>
    </row>
    <row r="96" spans="1:6" x14ac:dyDescent="0.3">
      <c r="A96" t="s">
        <v>156</v>
      </c>
      <c r="B96" t="s">
        <v>611</v>
      </c>
      <c r="C96" t="s">
        <v>742</v>
      </c>
      <c r="D96" t="s">
        <v>749</v>
      </c>
      <c r="E96" t="s">
        <v>744</v>
      </c>
      <c r="F96" t="s">
        <v>629</v>
      </c>
    </row>
    <row r="97" spans="1:6" x14ac:dyDescent="0.3">
      <c r="A97" t="s">
        <v>156</v>
      </c>
      <c r="B97" t="s">
        <v>611</v>
      </c>
      <c r="C97" t="s">
        <v>742</v>
      </c>
      <c r="D97" t="s">
        <v>750</v>
      </c>
      <c r="E97" t="s">
        <v>744</v>
      </c>
      <c r="F97" t="s">
        <v>629</v>
      </c>
    </row>
    <row r="98" spans="1:6" x14ac:dyDescent="0.3">
      <c r="A98" t="s">
        <v>156</v>
      </c>
      <c r="B98" t="s">
        <v>611</v>
      </c>
      <c r="C98" t="s">
        <v>742</v>
      </c>
      <c r="D98" t="s">
        <v>751</v>
      </c>
      <c r="E98" t="s">
        <v>744</v>
      </c>
      <c r="F98" t="s">
        <v>629</v>
      </c>
    </row>
    <row r="99" spans="1:6" x14ac:dyDescent="0.3">
      <c r="A99" t="s">
        <v>156</v>
      </c>
      <c r="B99" t="s">
        <v>611</v>
      </c>
      <c r="C99" t="s">
        <v>742</v>
      </c>
      <c r="D99" t="s">
        <v>752</v>
      </c>
      <c r="E99" t="s">
        <v>744</v>
      </c>
      <c r="F99" t="s">
        <v>629</v>
      </c>
    </row>
    <row r="100" spans="1:6" x14ac:dyDescent="0.3">
      <c r="A100" t="s">
        <v>156</v>
      </c>
      <c r="B100" t="s">
        <v>611</v>
      </c>
      <c r="C100" t="s">
        <v>742</v>
      </c>
      <c r="D100" t="s">
        <v>753</v>
      </c>
      <c r="E100" t="s">
        <v>744</v>
      </c>
      <c r="F100" t="s">
        <v>629</v>
      </c>
    </row>
    <row r="101" spans="1:6" x14ac:dyDescent="0.3">
      <c r="A101" t="s">
        <v>90</v>
      </c>
      <c r="B101" t="s">
        <v>317</v>
      </c>
      <c r="C101" t="s">
        <v>754</v>
      </c>
      <c r="D101" t="s">
        <v>755</v>
      </c>
      <c r="E101" t="s">
        <v>756</v>
      </c>
      <c r="F101" t="s">
        <v>629</v>
      </c>
    </row>
    <row r="102" spans="1:6" x14ac:dyDescent="0.3">
      <c r="A102" t="s">
        <v>66</v>
      </c>
      <c r="B102" t="s">
        <v>210</v>
      </c>
      <c r="C102" t="s">
        <v>757</v>
      </c>
      <c r="D102" t="s">
        <v>758</v>
      </c>
      <c r="E102" t="s">
        <v>759</v>
      </c>
      <c r="F102" t="s">
        <v>629</v>
      </c>
    </row>
    <row r="103" spans="1:6" x14ac:dyDescent="0.3">
      <c r="A103" t="s">
        <v>66</v>
      </c>
      <c r="B103" t="s">
        <v>210</v>
      </c>
      <c r="C103" t="s">
        <v>757</v>
      </c>
      <c r="D103" t="s">
        <v>760</v>
      </c>
      <c r="E103" t="s">
        <v>759</v>
      </c>
      <c r="F103" t="s">
        <v>629</v>
      </c>
    </row>
    <row r="104" spans="1:6" x14ac:dyDescent="0.3">
      <c r="A104" t="s">
        <v>66</v>
      </c>
      <c r="B104" t="s">
        <v>210</v>
      </c>
      <c r="C104" t="s">
        <v>757</v>
      </c>
      <c r="D104" t="s">
        <v>761</v>
      </c>
      <c r="E104" t="s">
        <v>759</v>
      </c>
      <c r="F104" t="s">
        <v>629</v>
      </c>
    </row>
    <row r="105" spans="1:6" x14ac:dyDescent="0.3">
      <c r="A105" t="s">
        <v>52</v>
      </c>
      <c r="B105" t="s">
        <v>418</v>
      </c>
      <c r="C105" t="s">
        <v>762</v>
      </c>
      <c r="D105" t="s">
        <v>763</v>
      </c>
      <c r="E105" t="s">
        <v>764</v>
      </c>
      <c r="F105" t="s">
        <v>629</v>
      </c>
    </row>
    <row r="106" spans="1:6" x14ac:dyDescent="0.3">
      <c r="A106" t="s">
        <v>86</v>
      </c>
      <c r="B106" t="s">
        <v>438</v>
      </c>
      <c r="C106" t="s">
        <v>765</v>
      </c>
      <c r="D106" t="s">
        <v>766</v>
      </c>
      <c r="E106" t="s">
        <v>767</v>
      </c>
      <c r="F106" t="s">
        <v>629</v>
      </c>
    </row>
    <row r="107" spans="1:6" x14ac:dyDescent="0.3">
      <c r="A107" t="s">
        <v>86</v>
      </c>
      <c r="B107" t="s">
        <v>438</v>
      </c>
      <c r="C107" t="s">
        <v>765</v>
      </c>
      <c r="D107" t="s">
        <v>768</v>
      </c>
      <c r="E107" t="s">
        <v>767</v>
      </c>
      <c r="F107" t="s">
        <v>629</v>
      </c>
    </row>
    <row r="108" spans="1:6" x14ac:dyDescent="0.3">
      <c r="A108" t="s">
        <v>86</v>
      </c>
      <c r="B108" t="s">
        <v>438</v>
      </c>
      <c r="C108" t="s">
        <v>765</v>
      </c>
      <c r="D108" t="s">
        <v>769</v>
      </c>
      <c r="E108" t="s">
        <v>767</v>
      </c>
      <c r="F108" t="s">
        <v>629</v>
      </c>
    </row>
    <row r="109" spans="1:6" x14ac:dyDescent="0.3">
      <c r="A109" t="s">
        <v>86</v>
      </c>
      <c r="B109" t="s">
        <v>438</v>
      </c>
      <c r="C109" t="s">
        <v>765</v>
      </c>
      <c r="D109" t="s">
        <v>770</v>
      </c>
      <c r="E109" t="s">
        <v>767</v>
      </c>
      <c r="F109" t="s">
        <v>629</v>
      </c>
    </row>
    <row r="110" spans="1:6" x14ac:dyDescent="0.3">
      <c r="A110" t="s">
        <v>86</v>
      </c>
      <c r="B110" t="s">
        <v>438</v>
      </c>
      <c r="C110" t="s">
        <v>765</v>
      </c>
      <c r="D110" t="s">
        <v>771</v>
      </c>
      <c r="E110" t="s">
        <v>767</v>
      </c>
      <c r="F110" t="s">
        <v>629</v>
      </c>
    </row>
    <row r="111" spans="1:6" x14ac:dyDescent="0.3">
      <c r="A111" t="s">
        <v>86</v>
      </c>
      <c r="B111" t="s">
        <v>438</v>
      </c>
      <c r="C111" t="s">
        <v>765</v>
      </c>
      <c r="D111" t="s">
        <v>772</v>
      </c>
      <c r="E111" t="s">
        <v>767</v>
      </c>
      <c r="F111" t="s">
        <v>629</v>
      </c>
    </row>
    <row r="112" spans="1:6" x14ac:dyDescent="0.3">
      <c r="A112" t="s">
        <v>121</v>
      </c>
      <c r="B112" t="s">
        <v>522</v>
      </c>
      <c r="C112" t="s">
        <v>773</v>
      </c>
      <c r="D112" t="s">
        <v>774</v>
      </c>
      <c r="E112" t="s">
        <v>775</v>
      </c>
      <c r="F112" t="s">
        <v>629</v>
      </c>
    </row>
    <row r="113" spans="1:6" x14ac:dyDescent="0.3">
      <c r="A113" t="s">
        <v>121</v>
      </c>
      <c r="B113" t="s">
        <v>522</v>
      </c>
      <c r="C113" t="s">
        <v>773</v>
      </c>
      <c r="D113" t="s">
        <v>776</v>
      </c>
      <c r="E113" t="s">
        <v>775</v>
      </c>
      <c r="F113" t="s">
        <v>629</v>
      </c>
    </row>
    <row r="114" spans="1:6" x14ac:dyDescent="0.3">
      <c r="A114" t="s">
        <v>121</v>
      </c>
      <c r="B114" t="s">
        <v>522</v>
      </c>
      <c r="C114" t="s">
        <v>773</v>
      </c>
      <c r="D114" t="s">
        <v>777</v>
      </c>
      <c r="E114" t="s">
        <v>775</v>
      </c>
      <c r="F114" t="s">
        <v>629</v>
      </c>
    </row>
    <row r="115" spans="1:6" x14ac:dyDescent="0.3">
      <c r="A115" t="s">
        <v>35</v>
      </c>
      <c r="B115" t="s">
        <v>428</v>
      </c>
      <c r="C115" t="s">
        <v>778</v>
      </c>
      <c r="D115" t="s">
        <v>779</v>
      </c>
      <c r="E115" t="s">
        <v>780</v>
      </c>
      <c r="F115" t="s">
        <v>629</v>
      </c>
    </row>
    <row r="116" spans="1:6" x14ac:dyDescent="0.3">
      <c r="A116" t="s">
        <v>35</v>
      </c>
      <c r="B116" t="s">
        <v>428</v>
      </c>
      <c r="C116" t="s">
        <v>778</v>
      </c>
      <c r="D116" t="s">
        <v>781</v>
      </c>
      <c r="E116" t="s">
        <v>780</v>
      </c>
      <c r="F116" t="s">
        <v>629</v>
      </c>
    </row>
    <row r="117" spans="1:6" x14ac:dyDescent="0.3">
      <c r="A117" t="s">
        <v>149</v>
      </c>
      <c r="B117" t="s">
        <v>299</v>
      </c>
      <c r="C117" t="s">
        <v>782</v>
      </c>
      <c r="D117" t="s">
        <v>783</v>
      </c>
      <c r="E117" t="s">
        <v>784</v>
      </c>
      <c r="F117" t="s">
        <v>629</v>
      </c>
    </row>
    <row r="118" spans="1:6" x14ac:dyDescent="0.3">
      <c r="A118" t="s">
        <v>149</v>
      </c>
      <c r="B118" t="s">
        <v>299</v>
      </c>
      <c r="C118" t="s">
        <v>782</v>
      </c>
      <c r="D118" t="s">
        <v>785</v>
      </c>
      <c r="E118" t="s">
        <v>784</v>
      </c>
      <c r="F118" t="s">
        <v>629</v>
      </c>
    </row>
    <row r="119" spans="1:6" x14ac:dyDescent="0.3">
      <c r="A119" t="s">
        <v>123</v>
      </c>
      <c r="B119" t="s">
        <v>477</v>
      </c>
      <c r="C119" t="s">
        <v>786</v>
      </c>
      <c r="D119" t="s">
        <v>787</v>
      </c>
      <c r="E119" t="s">
        <v>788</v>
      </c>
      <c r="F119" t="s">
        <v>629</v>
      </c>
    </row>
    <row r="120" spans="1:6" x14ac:dyDescent="0.3">
      <c r="A120" t="s">
        <v>123</v>
      </c>
      <c r="B120" t="s">
        <v>477</v>
      </c>
      <c r="C120" t="s">
        <v>786</v>
      </c>
      <c r="D120" t="s">
        <v>789</v>
      </c>
      <c r="E120" t="s">
        <v>788</v>
      </c>
      <c r="F120" t="s">
        <v>629</v>
      </c>
    </row>
    <row r="121" spans="1:6" x14ac:dyDescent="0.3">
      <c r="A121" t="s">
        <v>123</v>
      </c>
      <c r="B121" t="s">
        <v>477</v>
      </c>
      <c r="C121" t="s">
        <v>786</v>
      </c>
      <c r="D121" t="s">
        <v>790</v>
      </c>
      <c r="E121" t="s">
        <v>788</v>
      </c>
      <c r="F121" t="s">
        <v>629</v>
      </c>
    </row>
    <row r="122" spans="1:6" x14ac:dyDescent="0.3">
      <c r="A122" t="s">
        <v>123</v>
      </c>
      <c r="B122" t="s">
        <v>477</v>
      </c>
      <c r="C122" t="s">
        <v>786</v>
      </c>
      <c r="D122" t="s">
        <v>791</v>
      </c>
      <c r="E122" t="s">
        <v>788</v>
      </c>
      <c r="F122" t="s">
        <v>629</v>
      </c>
    </row>
    <row r="123" spans="1:6" x14ac:dyDescent="0.3">
      <c r="A123" t="s">
        <v>123</v>
      </c>
      <c r="B123" t="s">
        <v>477</v>
      </c>
      <c r="C123" t="s">
        <v>786</v>
      </c>
      <c r="D123" t="s">
        <v>792</v>
      </c>
      <c r="E123" t="s">
        <v>788</v>
      </c>
      <c r="F123" t="s">
        <v>629</v>
      </c>
    </row>
    <row r="124" spans="1:6" x14ac:dyDescent="0.3">
      <c r="A124" t="s">
        <v>123</v>
      </c>
      <c r="B124" t="s">
        <v>477</v>
      </c>
      <c r="C124" t="s">
        <v>786</v>
      </c>
      <c r="D124" t="s">
        <v>793</v>
      </c>
      <c r="E124" t="s">
        <v>788</v>
      </c>
      <c r="F124" t="s">
        <v>629</v>
      </c>
    </row>
    <row r="125" spans="1:6" x14ac:dyDescent="0.3">
      <c r="A125" t="s">
        <v>123</v>
      </c>
      <c r="B125" t="s">
        <v>477</v>
      </c>
      <c r="C125" t="s">
        <v>786</v>
      </c>
      <c r="D125" t="s">
        <v>794</v>
      </c>
      <c r="E125" t="s">
        <v>788</v>
      </c>
      <c r="F125" t="s">
        <v>629</v>
      </c>
    </row>
    <row r="126" spans="1:6" x14ac:dyDescent="0.3">
      <c r="A126" t="s">
        <v>123</v>
      </c>
      <c r="B126" t="s">
        <v>477</v>
      </c>
      <c r="C126" t="s">
        <v>786</v>
      </c>
      <c r="D126" t="s">
        <v>795</v>
      </c>
      <c r="E126" t="s">
        <v>788</v>
      </c>
      <c r="F126" t="s">
        <v>629</v>
      </c>
    </row>
    <row r="127" spans="1:6" x14ac:dyDescent="0.3">
      <c r="A127" t="s">
        <v>123</v>
      </c>
      <c r="B127" t="s">
        <v>477</v>
      </c>
      <c r="C127" t="s">
        <v>786</v>
      </c>
      <c r="D127" t="s">
        <v>796</v>
      </c>
      <c r="E127" t="s">
        <v>788</v>
      </c>
      <c r="F127" t="s">
        <v>629</v>
      </c>
    </row>
    <row r="128" spans="1:6" x14ac:dyDescent="0.3">
      <c r="A128" t="s">
        <v>123</v>
      </c>
      <c r="B128" t="s">
        <v>477</v>
      </c>
      <c r="C128" t="s">
        <v>786</v>
      </c>
      <c r="D128" t="s">
        <v>797</v>
      </c>
      <c r="E128" t="s">
        <v>788</v>
      </c>
      <c r="F128" t="s">
        <v>629</v>
      </c>
    </row>
    <row r="129" spans="1:6" x14ac:dyDescent="0.3">
      <c r="A129" t="s">
        <v>21</v>
      </c>
      <c r="B129" t="s">
        <v>425</v>
      </c>
      <c r="C129" t="s">
        <v>798</v>
      </c>
      <c r="D129" t="s">
        <v>799</v>
      </c>
      <c r="E129" t="s">
        <v>800</v>
      </c>
      <c r="F129" t="s">
        <v>629</v>
      </c>
    </row>
    <row r="130" spans="1:6" x14ac:dyDescent="0.3">
      <c r="A130" t="s">
        <v>21</v>
      </c>
      <c r="B130" t="s">
        <v>425</v>
      </c>
      <c r="C130" t="s">
        <v>798</v>
      </c>
      <c r="D130" t="s">
        <v>801</v>
      </c>
      <c r="E130" t="s">
        <v>800</v>
      </c>
      <c r="F130" t="s">
        <v>629</v>
      </c>
    </row>
    <row r="131" spans="1:6" x14ac:dyDescent="0.3">
      <c r="A131" t="s">
        <v>21</v>
      </c>
      <c r="B131" t="s">
        <v>425</v>
      </c>
      <c r="C131" t="s">
        <v>798</v>
      </c>
      <c r="D131" t="s">
        <v>802</v>
      </c>
      <c r="E131" t="s">
        <v>800</v>
      </c>
      <c r="F131" t="s">
        <v>629</v>
      </c>
    </row>
    <row r="132" spans="1:6" x14ac:dyDescent="0.3">
      <c r="A132" t="s">
        <v>59</v>
      </c>
      <c r="B132" t="s">
        <v>500</v>
      </c>
      <c r="C132" t="s">
        <v>803</v>
      </c>
      <c r="D132" t="s">
        <v>804</v>
      </c>
      <c r="E132" t="s">
        <v>805</v>
      </c>
      <c r="F132" t="s">
        <v>629</v>
      </c>
    </row>
    <row r="133" spans="1:6" x14ac:dyDescent="0.3">
      <c r="A133" t="s">
        <v>59</v>
      </c>
      <c r="B133" t="s">
        <v>500</v>
      </c>
      <c r="C133" t="s">
        <v>803</v>
      </c>
      <c r="D133" t="s">
        <v>806</v>
      </c>
      <c r="E133" t="s">
        <v>805</v>
      </c>
      <c r="F133" t="s">
        <v>629</v>
      </c>
    </row>
    <row r="134" spans="1:6" x14ac:dyDescent="0.3">
      <c r="A134" t="s">
        <v>59</v>
      </c>
      <c r="B134" t="s">
        <v>500</v>
      </c>
      <c r="C134" t="s">
        <v>803</v>
      </c>
      <c r="D134" t="s">
        <v>807</v>
      </c>
      <c r="E134" t="s">
        <v>805</v>
      </c>
      <c r="F134" t="s">
        <v>629</v>
      </c>
    </row>
    <row r="135" spans="1:6" x14ac:dyDescent="0.3">
      <c r="A135" t="s">
        <v>73</v>
      </c>
      <c r="C135" t="s">
        <v>808</v>
      </c>
      <c r="D135" t="s">
        <v>809</v>
      </c>
      <c r="F135" t="s">
        <v>629</v>
      </c>
    </row>
    <row r="136" spans="1:6" x14ac:dyDescent="0.3">
      <c r="A136" t="s">
        <v>58</v>
      </c>
      <c r="B136" t="s">
        <v>543</v>
      </c>
      <c r="C136" t="s">
        <v>810</v>
      </c>
      <c r="D136" t="s">
        <v>811</v>
      </c>
      <c r="E136" t="s">
        <v>812</v>
      </c>
      <c r="F136" t="s">
        <v>629</v>
      </c>
    </row>
    <row r="137" spans="1:6" x14ac:dyDescent="0.3">
      <c r="A137" t="s">
        <v>58</v>
      </c>
      <c r="B137" t="s">
        <v>543</v>
      </c>
      <c r="C137" t="s">
        <v>810</v>
      </c>
      <c r="D137" t="s">
        <v>813</v>
      </c>
      <c r="E137" t="s">
        <v>812</v>
      </c>
      <c r="F137" t="s">
        <v>629</v>
      </c>
    </row>
    <row r="138" spans="1:6" x14ac:dyDescent="0.3">
      <c r="A138" t="s">
        <v>17</v>
      </c>
      <c r="B138" t="s">
        <v>452</v>
      </c>
      <c r="C138" t="s">
        <v>814</v>
      </c>
      <c r="D138" t="s">
        <v>815</v>
      </c>
      <c r="E138" t="s">
        <v>816</v>
      </c>
      <c r="F138" t="s">
        <v>629</v>
      </c>
    </row>
    <row r="139" spans="1:6" x14ac:dyDescent="0.3">
      <c r="A139" t="s">
        <v>17</v>
      </c>
      <c r="B139" t="s">
        <v>452</v>
      </c>
      <c r="C139" t="s">
        <v>814</v>
      </c>
      <c r="D139" t="s">
        <v>817</v>
      </c>
      <c r="E139" t="s">
        <v>816</v>
      </c>
      <c r="F139" t="s">
        <v>629</v>
      </c>
    </row>
    <row r="140" spans="1:6" x14ac:dyDescent="0.3">
      <c r="A140" t="s">
        <v>17</v>
      </c>
      <c r="B140" t="s">
        <v>452</v>
      </c>
      <c r="C140" t="s">
        <v>814</v>
      </c>
      <c r="D140" t="s">
        <v>818</v>
      </c>
      <c r="E140" t="s">
        <v>816</v>
      </c>
      <c r="F140" t="s">
        <v>629</v>
      </c>
    </row>
    <row r="141" spans="1:6" x14ac:dyDescent="0.3">
      <c r="A141" t="s">
        <v>17</v>
      </c>
      <c r="B141" t="s">
        <v>452</v>
      </c>
      <c r="C141" t="s">
        <v>814</v>
      </c>
      <c r="D141" t="s">
        <v>819</v>
      </c>
      <c r="E141" t="s">
        <v>816</v>
      </c>
      <c r="F141" t="s">
        <v>629</v>
      </c>
    </row>
    <row r="142" spans="1:6" x14ac:dyDescent="0.3">
      <c r="A142" t="s">
        <v>69</v>
      </c>
      <c r="B142" t="s">
        <v>472</v>
      </c>
      <c r="C142" t="s">
        <v>820</v>
      </c>
      <c r="D142" t="s">
        <v>821</v>
      </c>
      <c r="F142" t="s">
        <v>629</v>
      </c>
    </row>
    <row r="143" spans="1:6" x14ac:dyDescent="0.3">
      <c r="A143" t="s">
        <v>69</v>
      </c>
      <c r="B143" t="s">
        <v>472</v>
      </c>
      <c r="C143" t="s">
        <v>820</v>
      </c>
      <c r="D143" t="s">
        <v>822</v>
      </c>
      <c r="F143" t="s">
        <v>629</v>
      </c>
    </row>
    <row r="144" spans="1:6" x14ac:dyDescent="0.3">
      <c r="A144" t="s">
        <v>69</v>
      </c>
      <c r="B144" t="s">
        <v>472</v>
      </c>
      <c r="C144" t="s">
        <v>820</v>
      </c>
      <c r="D144" t="s">
        <v>823</v>
      </c>
      <c r="F144" t="s">
        <v>629</v>
      </c>
    </row>
    <row r="145" spans="1:6" x14ac:dyDescent="0.3">
      <c r="A145" t="s">
        <v>69</v>
      </c>
      <c r="B145" t="s">
        <v>472</v>
      </c>
      <c r="C145" t="s">
        <v>820</v>
      </c>
      <c r="D145" t="s">
        <v>824</v>
      </c>
      <c r="F145" t="s">
        <v>629</v>
      </c>
    </row>
    <row r="146" spans="1:6" x14ac:dyDescent="0.3">
      <c r="A146" t="s">
        <v>69</v>
      </c>
      <c r="B146" t="s">
        <v>472</v>
      </c>
      <c r="C146" t="s">
        <v>820</v>
      </c>
      <c r="D146" t="s">
        <v>825</v>
      </c>
      <c r="F146" t="s">
        <v>629</v>
      </c>
    </row>
    <row r="147" spans="1:6" x14ac:dyDescent="0.3">
      <c r="A147" t="s">
        <v>69</v>
      </c>
      <c r="B147" t="s">
        <v>472</v>
      </c>
      <c r="C147" t="s">
        <v>820</v>
      </c>
      <c r="D147" t="s">
        <v>826</v>
      </c>
      <c r="F147" t="s">
        <v>629</v>
      </c>
    </row>
    <row r="148" spans="1:6" x14ac:dyDescent="0.3">
      <c r="A148" t="s">
        <v>69</v>
      </c>
      <c r="B148" t="s">
        <v>472</v>
      </c>
      <c r="C148" t="s">
        <v>820</v>
      </c>
      <c r="D148" t="s">
        <v>827</v>
      </c>
      <c r="F148" t="s">
        <v>629</v>
      </c>
    </row>
    <row r="149" spans="1:6" x14ac:dyDescent="0.3">
      <c r="A149" t="s">
        <v>18</v>
      </c>
      <c r="B149" t="s">
        <v>509</v>
      </c>
      <c r="C149" t="s">
        <v>828</v>
      </c>
      <c r="D149" t="s">
        <v>829</v>
      </c>
      <c r="E149" t="s">
        <v>830</v>
      </c>
      <c r="F149" t="s">
        <v>629</v>
      </c>
    </row>
    <row r="150" spans="1:6" x14ac:dyDescent="0.3">
      <c r="A150" t="s">
        <v>134</v>
      </c>
      <c r="B150" t="s">
        <v>393</v>
      </c>
      <c r="C150" t="s">
        <v>831</v>
      </c>
      <c r="D150" t="s">
        <v>832</v>
      </c>
      <c r="E150" t="s">
        <v>833</v>
      </c>
      <c r="F150" t="s">
        <v>629</v>
      </c>
    </row>
    <row r="151" spans="1:6" x14ac:dyDescent="0.3">
      <c r="A151" t="s">
        <v>132</v>
      </c>
      <c r="B151" t="s">
        <v>381</v>
      </c>
      <c r="C151" t="s">
        <v>834</v>
      </c>
      <c r="D151" t="s">
        <v>835</v>
      </c>
      <c r="E151" t="s">
        <v>836</v>
      </c>
      <c r="F151" t="s">
        <v>629</v>
      </c>
    </row>
    <row r="152" spans="1:6" x14ac:dyDescent="0.3">
      <c r="A152" t="s">
        <v>132</v>
      </c>
      <c r="B152" t="s">
        <v>381</v>
      </c>
      <c r="C152" t="s">
        <v>834</v>
      </c>
      <c r="D152" t="s">
        <v>837</v>
      </c>
      <c r="E152" t="s">
        <v>836</v>
      </c>
      <c r="F152" t="s">
        <v>629</v>
      </c>
    </row>
    <row r="153" spans="1:6" x14ac:dyDescent="0.3">
      <c r="A153" t="s">
        <v>48</v>
      </c>
      <c r="B153" t="s">
        <v>556</v>
      </c>
      <c r="C153" t="s">
        <v>838</v>
      </c>
      <c r="D153" t="s">
        <v>839</v>
      </c>
      <c r="E153" t="s">
        <v>840</v>
      </c>
      <c r="F153" t="s">
        <v>629</v>
      </c>
    </row>
    <row r="154" spans="1:6" x14ac:dyDescent="0.3">
      <c r="A154" t="s">
        <v>48</v>
      </c>
      <c r="B154" t="s">
        <v>556</v>
      </c>
      <c r="C154" t="s">
        <v>838</v>
      </c>
      <c r="D154" t="s">
        <v>841</v>
      </c>
      <c r="E154" t="s">
        <v>840</v>
      </c>
      <c r="F154" t="s">
        <v>629</v>
      </c>
    </row>
    <row r="155" spans="1:6" x14ac:dyDescent="0.3">
      <c r="A155" t="s">
        <v>117</v>
      </c>
      <c r="B155" t="s">
        <v>255</v>
      </c>
      <c r="C155" t="s">
        <v>842</v>
      </c>
      <c r="D155" t="s">
        <v>843</v>
      </c>
      <c r="F155" t="s">
        <v>629</v>
      </c>
    </row>
    <row r="156" spans="1:6" x14ac:dyDescent="0.3">
      <c r="A156" t="s">
        <v>117</v>
      </c>
      <c r="B156" t="s">
        <v>255</v>
      </c>
      <c r="C156" t="s">
        <v>842</v>
      </c>
      <c r="D156" t="s">
        <v>844</v>
      </c>
      <c r="F156" t="s">
        <v>629</v>
      </c>
    </row>
    <row r="157" spans="1:6" x14ac:dyDescent="0.3">
      <c r="A157" t="s">
        <v>117</v>
      </c>
      <c r="B157" t="s">
        <v>255</v>
      </c>
      <c r="C157" t="s">
        <v>842</v>
      </c>
      <c r="D157" t="s">
        <v>845</v>
      </c>
      <c r="F157" t="s">
        <v>629</v>
      </c>
    </row>
    <row r="158" spans="1:6" x14ac:dyDescent="0.3">
      <c r="A158" t="s">
        <v>99</v>
      </c>
      <c r="B158" t="s">
        <v>423</v>
      </c>
      <c r="C158" t="s">
        <v>846</v>
      </c>
      <c r="D158" t="s">
        <v>847</v>
      </c>
      <c r="F158" t="s">
        <v>629</v>
      </c>
    </row>
    <row r="159" spans="1:6" x14ac:dyDescent="0.3">
      <c r="A159" t="s">
        <v>124</v>
      </c>
      <c r="B159" t="s">
        <v>375</v>
      </c>
      <c r="C159" t="s">
        <v>848</v>
      </c>
      <c r="D159" t="s">
        <v>849</v>
      </c>
      <c r="F159" t="s">
        <v>629</v>
      </c>
    </row>
    <row r="160" spans="1:6" x14ac:dyDescent="0.3">
      <c r="A160" t="s">
        <v>124</v>
      </c>
      <c r="B160" t="s">
        <v>375</v>
      </c>
      <c r="C160" t="s">
        <v>848</v>
      </c>
      <c r="D160" t="s">
        <v>850</v>
      </c>
      <c r="F160" t="s">
        <v>629</v>
      </c>
    </row>
    <row r="161" spans="1:6" x14ac:dyDescent="0.3">
      <c r="A161" t="s">
        <v>124</v>
      </c>
      <c r="B161" t="s">
        <v>375</v>
      </c>
      <c r="C161" t="s">
        <v>848</v>
      </c>
      <c r="D161" t="s">
        <v>851</v>
      </c>
      <c r="F161" t="s">
        <v>629</v>
      </c>
    </row>
    <row r="162" spans="1:6" x14ac:dyDescent="0.3">
      <c r="A162" t="s">
        <v>51</v>
      </c>
      <c r="B162" t="s">
        <v>367</v>
      </c>
      <c r="C162" t="s">
        <v>852</v>
      </c>
      <c r="D162" t="s">
        <v>853</v>
      </c>
      <c r="E162" t="s">
        <v>854</v>
      </c>
      <c r="F162" t="s">
        <v>629</v>
      </c>
    </row>
    <row r="163" spans="1:6" x14ac:dyDescent="0.3">
      <c r="A163" t="s">
        <v>51</v>
      </c>
      <c r="B163" t="s">
        <v>367</v>
      </c>
      <c r="C163" t="s">
        <v>852</v>
      </c>
      <c r="D163" t="s">
        <v>855</v>
      </c>
      <c r="E163" t="s">
        <v>854</v>
      </c>
      <c r="F163" t="s">
        <v>629</v>
      </c>
    </row>
    <row r="164" spans="1:6" x14ac:dyDescent="0.3">
      <c r="A164" t="s">
        <v>51</v>
      </c>
      <c r="B164" t="s">
        <v>367</v>
      </c>
      <c r="C164" t="s">
        <v>852</v>
      </c>
      <c r="D164" t="s">
        <v>856</v>
      </c>
      <c r="E164" t="s">
        <v>854</v>
      </c>
      <c r="F164" t="s">
        <v>629</v>
      </c>
    </row>
    <row r="165" spans="1:6" x14ac:dyDescent="0.3">
      <c r="A165" t="s">
        <v>28</v>
      </c>
      <c r="B165" t="s">
        <v>551</v>
      </c>
      <c r="C165" t="s">
        <v>857</v>
      </c>
      <c r="D165" t="s">
        <v>858</v>
      </c>
      <c r="E165" t="s">
        <v>859</v>
      </c>
      <c r="F165" t="s">
        <v>629</v>
      </c>
    </row>
    <row r="166" spans="1:6" x14ac:dyDescent="0.3">
      <c r="A166" t="s">
        <v>75</v>
      </c>
      <c r="B166" t="s">
        <v>441</v>
      </c>
      <c r="C166" t="s">
        <v>860</v>
      </c>
      <c r="D166" t="s">
        <v>861</v>
      </c>
      <c r="F166" t="s">
        <v>629</v>
      </c>
    </row>
    <row r="167" spans="1:6" x14ac:dyDescent="0.3">
      <c r="A167" t="s">
        <v>75</v>
      </c>
      <c r="B167" t="s">
        <v>441</v>
      </c>
      <c r="C167" t="s">
        <v>860</v>
      </c>
      <c r="D167" t="s">
        <v>862</v>
      </c>
      <c r="F167" t="s">
        <v>629</v>
      </c>
    </row>
    <row r="168" spans="1:6" x14ac:dyDescent="0.3">
      <c r="A168" t="s">
        <v>75</v>
      </c>
      <c r="B168" t="s">
        <v>441</v>
      </c>
      <c r="C168" t="s">
        <v>860</v>
      </c>
      <c r="D168" t="s">
        <v>863</v>
      </c>
      <c r="F168" t="s">
        <v>629</v>
      </c>
    </row>
    <row r="169" spans="1:6" x14ac:dyDescent="0.3">
      <c r="A169" t="s">
        <v>75</v>
      </c>
      <c r="B169" t="s">
        <v>441</v>
      </c>
      <c r="C169" t="s">
        <v>860</v>
      </c>
      <c r="D169" t="s">
        <v>864</v>
      </c>
      <c r="F169" t="s">
        <v>629</v>
      </c>
    </row>
    <row r="170" spans="1:6" x14ac:dyDescent="0.3">
      <c r="A170" t="s">
        <v>140</v>
      </c>
      <c r="B170" t="s">
        <v>865</v>
      </c>
      <c r="C170" t="s">
        <v>866</v>
      </c>
      <c r="D170" t="s">
        <v>867</v>
      </c>
      <c r="E170" t="s">
        <v>868</v>
      </c>
      <c r="F170" t="s">
        <v>629</v>
      </c>
    </row>
    <row r="171" spans="1:6" x14ac:dyDescent="0.3">
      <c r="A171" t="s">
        <v>140</v>
      </c>
      <c r="B171" t="s">
        <v>865</v>
      </c>
      <c r="C171" t="s">
        <v>866</v>
      </c>
      <c r="D171" t="s">
        <v>869</v>
      </c>
      <c r="E171" t="s">
        <v>868</v>
      </c>
      <c r="F171" t="s">
        <v>629</v>
      </c>
    </row>
    <row r="172" spans="1:6" x14ac:dyDescent="0.3">
      <c r="A172" t="s">
        <v>140</v>
      </c>
      <c r="B172" t="s">
        <v>865</v>
      </c>
      <c r="C172" t="s">
        <v>866</v>
      </c>
      <c r="D172" t="s">
        <v>870</v>
      </c>
      <c r="E172" t="s">
        <v>868</v>
      </c>
      <c r="F172" t="s">
        <v>629</v>
      </c>
    </row>
    <row r="173" spans="1:6" x14ac:dyDescent="0.3">
      <c r="A173" t="s">
        <v>140</v>
      </c>
      <c r="B173" t="s">
        <v>865</v>
      </c>
      <c r="C173" t="s">
        <v>866</v>
      </c>
      <c r="D173" t="s">
        <v>871</v>
      </c>
      <c r="E173" t="s">
        <v>868</v>
      </c>
      <c r="F173" t="s">
        <v>629</v>
      </c>
    </row>
    <row r="174" spans="1:6" x14ac:dyDescent="0.3">
      <c r="A174" t="s">
        <v>140</v>
      </c>
      <c r="B174" t="s">
        <v>865</v>
      </c>
      <c r="C174" t="s">
        <v>866</v>
      </c>
      <c r="D174" t="s">
        <v>872</v>
      </c>
      <c r="E174" t="s">
        <v>868</v>
      </c>
      <c r="F174" t="s">
        <v>629</v>
      </c>
    </row>
    <row r="175" spans="1:6" x14ac:dyDescent="0.3">
      <c r="A175" t="s">
        <v>140</v>
      </c>
      <c r="B175" t="s">
        <v>865</v>
      </c>
      <c r="C175" t="s">
        <v>866</v>
      </c>
      <c r="D175" t="s">
        <v>873</v>
      </c>
      <c r="E175" t="s">
        <v>868</v>
      </c>
      <c r="F175" t="s">
        <v>629</v>
      </c>
    </row>
    <row r="176" spans="1:6" x14ac:dyDescent="0.3">
      <c r="A176" t="s">
        <v>81</v>
      </c>
      <c r="B176" t="s">
        <v>518</v>
      </c>
      <c r="C176" t="s">
        <v>874</v>
      </c>
      <c r="D176" t="s">
        <v>875</v>
      </c>
      <c r="E176" t="s">
        <v>876</v>
      </c>
      <c r="F176" t="s">
        <v>629</v>
      </c>
    </row>
    <row r="177" spans="1:6" x14ac:dyDescent="0.3">
      <c r="A177" t="s">
        <v>81</v>
      </c>
      <c r="B177" t="s">
        <v>518</v>
      </c>
      <c r="C177" t="s">
        <v>874</v>
      </c>
      <c r="D177" t="s">
        <v>877</v>
      </c>
      <c r="E177" t="s">
        <v>876</v>
      </c>
      <c r="F177" t="s">
        <v>629</v>
      </c>
    </row>
    <row r="178" spans="1:6" x14ac:dyDescent="0.3">
      <c r="A178" t="s">
        <v>85</v>
      </c>
      <c r="B178" t="s">
        <v>482</v>
      </c>
      <c r="C178" t="s">
        <v>878</v>
      </c>
      <c r="D178" t="s">
        <v>879</v>
      </c>
      <c r="E178" t="s">
        <v>880</v>
      </c>
      <c r="F178" t="s">
        <v>629</v>
      </c>
    </row>
    <row r="179" spans="1:6" x14ac:dyDescent="0.3">
      <c r="A179" t="s">
        <v>172</v>
      </c>
      <c r="B179" t="s">
        <v>219</v>
      </c>
      <c r="C179" t="s">
        <v>881</v>
      </c>
      <c r="D179" t="s">
        <v>882</v>
      </c>
      <c r="E179" t="s">
        <v>883</v>
      </c>
      <c r="F179" t="s">
        <v>629</v>
      </c>
    </row>
    <row r="180" spans="1:6" x14ac:dyDescent="0.3">
      <c r="A180" t="s">
        <v>168</v>
      </c>
      <c r="B180" t="s">
        <v>581</v>
      </c>
      <c r="C180" t="s">
        <v>884</v>
      </c>
      <c r="D180" t="s">
        <v>885</v>
      </c>
      <c r="E180" t="s">
        <v>886</v>
      </c>
      <c r="F180" t="s">
        <v>629</v>
      </c>
    </row>
    <row r="181" spans="1:6" x14ac:dyDescent="0.3">
      <c r="A181" t="s">
        <v>168</v>
      </c>
      <c r="B181" t="s">
        <v>581</v>
      </c>
      <c r="C181" t="s">
        <v>884</v>
      </c>
      <c r="D181" t="s">
        <v>887</v>
      </c>
      <c r="E181" t="s">
        <v>886</v>
      </c>
      <c r="F181" t="s">
        <v>629</v>
      </c>
    </row>
    <row r="182" spans="1:6" x14ac:dyDescent="0.3">
      <c r="A182" t="s">
        <v>89</v>
      </c>
      <c r="B182" t="s">
        <v>261</v>
      </c>
      <c r="C182" t="s">
        <v>888</v>
      </c>
      <c r="D182" t="s">
        <v>889</v>
      </c>
      <c r="F182" t="s">
        <v>629</v>
      </c>
    </row>
    <row r="183" spans="1:6" x14ac:dyDescent="0.3">
      <c r="A183" t="s">
        <v>37</v>
      </c>
      <c r="B183" t="s">
        <v>293</v>
      </c>
      <c r="C183" t="s">
        <v>890</v>
      </c>
      <c r="D183" t="s">
        <v>891</v>
      </c>
      <c r="E183" t="s">
        <v>892</v>
      </c>
      <c r="F183" t="s">
        <v>629</v>
      </c>
    </row>
    <row r="184" spans="1:6" x14ac:dyDescent="0.3">
      <c r="A184" t="s">
        <v>37</v>
      </c>
      <c r="B184" t="s">
        <v>293</v>
      </c>
      <c r="C184" t="s">
        <v>890</v>
      </c>
      <c r="D184" t="s">
        <v>893</v>
      </c>
      <c r="E184" t="s">
        <v>892</v>
      </c>
      <c r="F184" t="s">
        <v>629</v>
      </c>
    </row>
    <row r="185" spans="1:6" x14ac:dyDescent="0.3">
      <c r="A185" t="s">
        <v>38</v>
      </c>
      <c r="B185" t="s">
        <v>409</v>
      </c>
      <c r="C185" t="s">
        <v>894</v>
      </c>
      <c r="D185" t="s">
        <v>895</v>
      </c>
      <c r="E185" t="s">
        <v>896</v>
      </c>
      <c r="F185" t="s">
        <v>629</v>
      </c>
    </row>
    <row r="186" spans="1:6" x14ac:dyDescent="0.3">
      <c r="A186" t="s">
        <v>38</v>
      </c>
      <c r="B186" t="s">
        <v>409</v>
      </c>
      <c r="C186" t="s">
        <v>894</v>
      </c>
      <c r="D186" t="s">
        <v>897</v>
      </c>
      <c r="E186" t="s">
        <v>896</v>
      </c>
      <c r="F186" t="s">
        <v>629</v>
      </c>
    </row>
    <row r="187" spans="1:6" x14ac:dyDescent="0.3">
      <c r="A187" t="s">
        <v>96</v>
      </c>
      <c r="B187" t="s">
        <v>593</v>
      </c>
      <c r="C187" t="s">
        <v>898</v>
      </c>
      <c r="D187" t="s">
        <v>899</v>
      </c>
      <c r="E187" t="s">
        <v>900</v>
      </c>
      <c r="F187" t="s">
        <v>629</v>
      </c>
    </row>
    <row r="188" spans="1:6" x14ac:dyDescent="0.3">
      <c r="A188" t="s">
        <v>96</v>
      </c>
      <c r="B188" t="s">
        <v>593</v>
      </c>
      <c r="C188" t="s">
        <v>898</v>
      </c>
      <c r="D188" t="s">
        <v>901</v>
      </c>
      <c r="E188" t="s">
        <v>900</v>
      </c>
      <c r="F188" t="s">
        <v>629</v>
      </c>
    </row>
    <row r="189" spans="1:6" x14ac:dyDescent="0.3">
      <c r="A189" t="s">
        <v>19</v>
      </c>
      <c r="B189" t="s">
        <v>506</v>
      </c>
      <c r="C189" t="s">
        <v>902</v>
      </c>
      <c r="D189" t="s">
        <v>903</v>
      </c>
      <c r="E189" t="s">
        <v>904</v>
      </c>
      <c r="F189" t="s">
        <v>629</v>
      </c>
    </row>
    <row r="190" spans="1:6" x14ac:dyDescent="0.3">
      <c r="A190" t="s">
        <v>19</v>
      </c>
      <c r="B190" t="s">
        <v>506</v>
      </c>
      <c r="C190" t="s">
        <v>902</v>
      </c>
      <c r="D190" t="s">
        <v>905</v>
      </c>
      <c r="E190" t="s">
        <v>904</v>
      </c>
      <c r="F190" t="s">
        <v>629</v>
      </c>
    </row>
    <row r="191" spans="1:6" x14ac:dyDescent="0.3">
      <c r="A191" t="s">
        <v>19</v>
      </c>
      <c r="B191" t="s">
        <v>506</v>
      </c>
      <c r="C191" t="s">
        <v>902</v>
      </c>
      <c r="D191" t="s">
        <v>906</v>
      </c>
      <c r="E191" t="s">
        <v>904</v>
      </c>
      <c r="F191" t="s">
        <v>629</v>
      </c>
    </row>
    <row r="192" spans="1:6" x14ac:dyDescent="0.3">
      <c r="A192" t="s">
        <v>19</v>
      </c>
      <c r="B192" t="s">
        <v>506</v>
      </c>
      <c r="C192" t="s">
        <v>902</v>
      </c>
      <c r="D192" t="s">
        <v>907</v>
      </c>
      <c r="E192" t="s">
        <v>904</v>
      </c>
      <c r="F192" t="s">
        <v>629</v>
      </c>
    </row>
    <row r="193" spans="1:6" x14ac:dyDescent="0.3">
      <c r="A193" t="s">
        <v>25</v>
      </c>
      <c r="B193" t="s">
        <v>244</v>
      </c>
      <c r="C193" t="s">
        <v>908</v>
      </c>
      <c r="D193" t="s">
        <v>909</v>
      </c>
      <c r="E193" t="s">
        <v>910</v>
      </c>
      <c r="F193" t="s">
        <v>629</v>
      </c>
    </row>
    <row r="194" spans="1:6" x14ac:dyDescent="0.3">
      <c r="A194" t="s">
        <v>25</v>
      </c>
      <c r="B194" t="s">
        <v>244</v>
      </c>
      <c r="C194" t="s">
        <v>908</v>
      </c>
      <c r="D194" t="s">
        <v>911</v>
      </c>
      <c r="E194" t="s">
        <v>910</v>
      </c>
      <c r="F194" t="s">
        <v>629</v>
      </c>
    </row>
    <row r="195" spans="1:6" x14ac:dyDescent="0.3">
      <c r="A195" t="s">
        <v>25</v>
      </c>
      <c r="B195" t="s">
        <v>244</v>
      </c>
      <c r="C195" t="s">
        <v>908</v>
      </c>
      <c r="D195" t="s">
        <v>912</v>
      </c>
      <c r="E195" t="s">
        <v>910</v>
      </c>
      <c r="F195" t="s">
        <v>629</v>
      </c>
    </row>
    <row r="196" spans="1:6" x14ac:dyDescent="0.3">
      <c r="A196" t="s">
        <v>25</v>
      </c>
      <c r="B196" t="s">
        <v>244</v>
      </c>
      <c r="C196" t="s">
        <v>908</v>
      </c>
      <c r="D196" t="s">
        <v>913</v>
      </c>
      <c r="E196" t="s">
        <v>910</v>
      </c>
      <c r="F196" t="s">
        <v>629</v>
      </c>
    </row>
    <row r="197" spans="1:6" x14ac:dyDescent="0.3">
      <c r="A197" t="s">
        <v>25</v>
      </c>
      <c r="B197" t="s">
        <v>244</v>
      </c>
      <c r="C197" t="s">
        <v>908</v>
      </c>
      <c r="D197" t="s">
        <v>914</v>
      </c>
      <c r="E197" t="s">
        <v>910</v>
      </c>
      <c r="F197" t="s">
        <v>629</v>
      </c>
    </row>
    <row r="198" spans="1:6" x14ac:dyDescent="0.3">
      <c r="A198" t="s">
        <v>25</v>
      </c>
      <c r="B198" t="s">
        <v>244</v>
      </c>
      <c r="C198" t="s">
        <v>908</v>
      </c>
      <c r="D198" t="s">
        <v>915</v>
      </c>
      <c r="E198" t="s">
        <v>910</v>
      </c>
      <c r="F198" t="s">
        <v>629</v>
      </c>
    </row>
    <row r="199" spans="1:6" x14ac:dyDescent="0.3">
      <c r="A199" t="s">
        <v>154</v>
      </c>
      <c r="B199" t="s">
        <v>490</v>
      </c>
      <c r="C199" t="s">
        <v>916</v>
      </c>
      <c r="D199" t="s">
        <v>917</v>
      </c>
      <c r="E199" t="s">
        <v>918</v>
      </c>
      <c r="F199" t="s">
        <v>629</v>
      </c>
    </row>
    <row r="200" spans="1:6" x14ac:dyDescent="0.3">
      <c r="A200" t="s">
        <v>154</v>
      </c>
      <c r="B200" t="s">
        <v>490</v>
      </c>
      <c r="C200" t="s">
        <v>916</v>
      </c>
      <c r="D200" t="s">
        <v>919</v>
      </c>
      <c r="E200" t="s">
        <v>918</v>
      </c>
      <c r="F200" t="s">
        <v>629</v>
      </c>
    </row>
    <row r="201" spans="1:6" x14ac:dyDescent="0.3">
      <c r="A201" t="s">
        <v>135</v>
      </c>
      <c r="B201" t="s">
        <v>244</v>
      </c>
      <c r="C201" t="s">
        <v>908</v>
      </c>
      <c r="D201" t="s">
        <v>909</v>
      </c>
      <c r="E201" t="s">
        <v>910</v>
      </c>
      <c r="F201" t="s">
        <v>629</v>
      </c>
    </row>
    <row r="202" spans="1:6" x14ac:dyDescent="0.3">
      <c r="A202" t="s">
        <v>135</v>
      </c>
      <c r="B202" t="s">
        <v>244</v>
      </c>
      <c r="C202" t="s">
        <v>908</v>
      </c>
      <c r="D202" t="s">
        <v>911</v>
      </c>
      <c r="E202" t="s">
        <v>910</v>
      </c>
      <c r="F202" t="s">
        <v>629</v>
      </c>
    </row>
    <row r="203" spans="1:6" x14ac:dyDescent="0.3">
      <c r="A203" t="s">
        <v>135</v>
      </c>
      <c r="B203" t="s">
        <v>244</v>
      </c>
      <c r="C203" t="s">
        <v>908</v>
      </c>
      <c r="D203" t="s">
        <v>912</v>
      </c>
      <c r="E203" t="s">
        <v>910</v>
      </c>
      <c r="F203" t="s">
        <v>629</v>
      </c>
    </row>
    <row r="204" spans="1:6" x14ac:dyDescent="0.3">
      <c r="A204" t="s">
        <v>135</v>
      </c>
      <c r="B204" t="s">
        <v>244</v>
      </c>
      <c r="C204" t="s">
        <v>908</v>
      </c>
      <c r="D204" t="s">
        <v>913</v>
      </c>
      <c r="E204" t="s">
        <v>910</v>
      </c>
      <c r="F204" t="s">
        <v>629</v>
      </c>
    </row>
    <row r="205" spans="1:6" x14ac:dyDescent="0.3">
      <c r="A205" t="s">
        <v>135</v>
      </c>
      <c r="B205" t="s">
        <v>244</v>
      </c>
      <c r="C205" t="s">
        <v>908</v>
      </c>
      <c r="D205" t="s">
        <v>914</v>
      </c>
      <c r="E205" t="s">
        <v>910</v>
      </c>
      <c r="F205" t="s">
        <v>629</v>
      </c>
    </row>
    <row r="206" spans="1:6" x14ac:dyDescent="0.3">
      <c r="A206" t="s">
        <v>135</v>
      </c>
      <c r="B206" t="s">
        <v>244</v>
      </c>
      <c r="C206" t="s">
        <v>908</v>
      </c>
      <c r="D206" t="s">
        <v>915</v>
      </c>
      <c r="E206" t="s">
        <v>910</v>
      </c>
      <c r="F206" t="s">
        <v>629</v>
      </c>
    </row>
    <row r="207" spans="1:6" x14ac:dyDescent="0.3">
      <c r="A207" t="s">
        <v>125</v>
      </c>
      <c r="B207" t="s">
        <v>222</v>
      </c>
      <c r="C207" t="s">
        <v>920</v>
      </c>
      <c r="D207" t="s">
        <v>921</v>
      </c>
      <c r="E207" t="s">
        <v>922</v>
      </c>
      <c r="F207" t="s">
        <v>629</v>
      </c>
    </row>
    <row r="208" spans="1:6" x14ac:dyDescent="0.3">
      <c r="A208" t="s">
        <v>125</v>
      </c>
      <c r="B208" t="s">
        <v>222</v>
      </c>
      <c r="C208" t="s">
        <v>920</v>
      </c>
      <c r="D208" t="s">
        <v>923</v>
      </c>
      <c r="E208" t="s">
        <v>922</v>
      </c>
      <c r="F208" t="s">
        <v>629</v>
      </c>
    </row>
    <row r="209" spans="1:6" x14ac:dyDescent="0.3">
      <c r="A209" t="s">
        <v>14</v>
      </c>
      <c r="B209" t="s">
        <v>487</v>
      </c>
      <c r="C209" t="s">
        <v>924</v>
      </c>
      <c r="D209" t="s">
        <v>925</v>
      </c>
      <c r="E209" t="s">
        <v>926</v>
      </c>
      <c r="F209" t="s">
        <v>629</v>
      </c>
    </row>
    <row r="210" spans="1:6" x14ac:dyDescent="0.3">
      <c r="A210" t="s">
        <v>158</v>
      </c>
      <c r="B210" t="s">
        <v>506</v>
      </c>
      <c r="C210" t="s">
        <v>902</v>
      </c>
      <c r="D210" t="s">
        <v>903</v>
      </c>
      <c r="E210" t="s">
        <v>904</v>
      </c>
      <c r="F210" t="s">
        <v>629</v>
      </c>
    </row>
    <row r="211" spans="1:6" x14ac:dyDescent="0.3">
      <c r="A211" t="s">
        <v>158</v>
      </c>
      <c r="B211" t="s">
        <v>506</v>
      </c>
      <c r="C211" t="s">
        <v>902</v>
      </c>
      <c r="D211" t="s">
        <v>905</v>
      </c>
      <c r="E211" t="s">
        <v>904</v>
      </c>
      <c r="F211" t="s">
        <v>629</v>
      </c>
    </row>
    <row r="212" spans="1:6" x14ac:dyDescent="0.3">
      <c r="A212" t="s">
        <v>158</v>
      </c>
      <c r="B212" t="s">
        <v>506</v>
      </c>
      <c r="C212" t="s">
        <v>902</v>
      </c>
      <c r="D212" t="s">
        <v>906</v>
      </c>
      <c r="E212" t="s">
        <v>904</v>
      </c>
      <c r="F212" t="s">
        <v>629</v>
      </c>
    </row>
    <row r="213" spans="1:6" x14ac:dyDescent="0.3">
      <c r="A213" t="s">
        <v>158</v>
      </c>
      <c r="B213" t="s">
        <v>506</v>
      </c>
      <c r="C213" t="s">
        <v>902</v>
      </c>
      <c r="D213" t="s">
        <v>907</v>
      </c>
      <c r="E213" t="s">
        <v>904</v>
      </c>
      <c r="F213" t="s">
        <v>629</v>
      </c>
    </row>
    <row r="214" spans="1:6" x14ac:dyDescent="0.3">
      <c r="A214" t="s">
        <v>54</v>
      </c>
      <c r="B214" t="s">
        <v>359</v>
      </c>
      <c r="C214" t="s">
        <v>927</v>
      </c>
      <c r="D214" t="s">
        <v>928</v>
      </c>
      <c r="E214" t="s">
        <v>929</v>
      </c>
      <c r="F214" t="s">
        <v>629</v>
      </c>
    </row>
    <row r="215" spans="1:6" x14ac:dyDescent="0.3">
      <c r="A215" t="s">
        <v>54</v>
      </c>
      <c r="B215" t="s">
        <v>359</v>
      </c>
      <c r="C215" t="s">
        <v>927</v>
      </c>
      <c r="D215" t="s">
        <v>930</v>
      </c>
      <c r="E215" t="s">
        <v>929</v>
      </c>
      <c r="F215" t="s">
        <v>629</v>
      </c>
    </row>
    <row r="216" spans="1:6" x14ac:dyDescent="0.3">
      <c r="A216" t="s">
        <v>93</v>
      </c>
      <c r="B216" t="s">
        <v>326</v>
      </c>
      <c r="C216" t="s">
        <v>931</v>
      </c>
      <c r="D216" t="s">
        <v>932</v>
      </c>
      <c r="E216" t="s">
        <v>933</v>
      </c>
      <c r="F216" t="s">
        <v>629</v>
      </c>
    </row>
    <row r="217" spans="1:6" x14ac:dyDescent="0.3">
      <c r="A217" t="s">
        <v>93</v>
      </c>
      <c r="B217" t="s">
        <v>326</v>
      </c>
      <c r="C217" t="s">
        <v>931</v>
      </c>
      <c r="D217" t="s">
        <v>934</v>
      </c>
      <c r="E217" t="s">
        <v>933</v>
      </c>
      <c r="F217" t="s">
        <v>629</v>
      </c>
    </row>
    <row r="218" spans="1:6" x14ac:dyDescent="0.3">
      <c r="A218" t="s">
        <v>93</v>
      </c>
      <c r="B218" t="s">
        <v>326</v>
      </c>
      <c r="C218" t="s">
        <v>931</v>
      </c>
      <c r="D218" t="s">
        <v>935</v>
      </c>
      <c r="E218" t="s">
        <v>933</v>
      </c>
      <c r="F218" t="s">
        <v>629</v>
      </c>
    </row>
    <row r="219" spans="1:6" x14ac:dyDescent="0.3">
      <c r="A219" t="s">
        <v>43</v>
      </c>
      <c r="B219" t="s">
        <v>548</v>
      </c>
      <c r="C219" t="s">
        <v>936</v>
      </c>
      <c r="D219" t="s">
        <v>937</v>
      </c>
      <c r="E219" t="s">
        <v>938</v>
      </c>
      <c r="F219" t="s">
        <v>629</v>
      </c>
    </row>
    <row r="220" spans="1:6" x14ac:dyDescent="0.3">
      <c r="A220" t="s">
        <v>43</v>
      </c>
      <c r="B220" t="s">
        <v>548</v>
      </c>
      <c r="C220" t="s">
        <v>936</v>
      </c>
      <c r="D220" t="s">
        <v>939</v>
      </c>
      <c r="E220" t="s">
        <v>938</v>
      </c>
      <c r="F220" t="s">
        <v>629</v>
      </c>
    </row>
    <row r="221" spans="1:6" x14ac:dyDescent="0.3">
      <c r="A221" t="s">
        <v>43</v>
      </c>
      <c r="B221" t="s">
        <v>548</v>
      </c>
      <c r="C221" t="s">
        <v>936</v>
      </c>
      <c r="D221" t="s">
        <v>940</v>
      </c>
      <c r="E221" t="s">
        <v>938</v>
      </c>
      <c r="F221" t="s">
        <v>629</v>
      </c>
    </row>
    <row r="222" spans="1:6" x14ac:dyDescent="0.3">
      <c r="A222" t="s">
        <v>144</v>
      </c>
      <c r="B222" t="s">
        <v>258</v>
      </c>
      <c r="C222" t="s">
        <v>941</v>
      </c>
      <c r="D222" t="s">
        <v>942</v>
      </c>
      <c r="F222" t="s">
        <v>629</v>
      </c>
    </row>
    <row r="223" spans="1:6" x14ac:dyDescent="0.3">
      <c r="A223" t="s">
        <v>144</v>
      </c>
      <c r="B223" t="s">
        <v>258</v>
      </c>
      <c r="C223" t="s">
        <v>941</v>
      </c>
      <c r="D223" t="s">
        <v>943</v>
      </c>
      <c r="F223" t="s">
        <v>629</v>
      </c>
    </row>
    <row r="224" spans="1:6" x14ac:dyDescent="0.3">
      <c r="A224" t="s">
        <v>144</v>
      </c>
      <c r="B224" t="s">
        <v>258</v>
      </c>
      <c r="C224" t="s">
        <v>941</v>
      </c>
      <c r="D224" t="s">
        <v>944</v>
      </c>
      <c r="F224" t="s">
        <v>629</v>
      </c>
    </row>
    <row r="225" spans="1:6" x14ac:dyDescent="0.3">
      <c r="A225" t="s">
        <v>144</v>
      </c>
      <c r="B225" t="s">
        <v>258</v>
      </c>
      <c r="C225" t="s">
        <v>941</v>
      </c>
      <c r="D225" t="s">
        <v>945</v>
      </c>
      <c r="F225" t="s">
        <v>629</v>
      </c>
    </row>
    <row r="226" spans="1:6" x14ac:dyDescent="0.3">
      <c r="A226" t="s">
        <v>144</v>
      </c>
      <c r="B226" t="s">
        <v>258</v>
      </c>
      <c r="C226" t="s">
        <v>941</v>
      </c>
      <c r="D226" t="s">
        <v>946</v>
      </c>
      <c r="F226" t="s">
        <v>629</v>
      </c>
    </row>
    <row r="227" spans="1:6" x14ac:dyDescent="0.3">
      <c r="A227" t="s">
        <v>144</v>
      </c>
      <c r="B227" t="s">
        <v>258</v>
      </c>
      <c r="C227" t="s">
        <v>941</v>
      </c>
      <c r="D227" t="s">
        <v>947</v>
      </c>
      <c r="F227" t="s">
        <v>629</v>
      </c>
    </row>
    <row r="228" spans="1:6" x14ac:dyDescent="0.3">
      <c r="A228" t="s">
        <v>67</v>
      </c>
      <c r="B228" t="s">
        <v>562</v>
      </c>
      <c r="C228" t="s">
        <v>948</v>
      </c>
      <c r="D228" t="s">
        <v>949</v>
      </c>
      <c r="F228" t="s">
        <v>629</v>
      </c>
    </row>
    <row r="229" spans="1:6" x14ac:dyDescent="0.3">
      <c r="A229" t="s">
        <v>67</v>
      </c>
      <c r="B229" t="s">
        <v>562</v>
      </c>
      <c r="C229" t="s">
        <v>948</v>
      </c>
      <c r="D229" t="s">
        <v>950</v>
      </c>
      <c r="F229" t="s">
        <v>629</v>
      </c>
    </row>
    <row r="230" spans="1:6" x14ac:dyDescent="0.3">
      <c r="A230" t="s">
        <v>164</v>
      </c>
      <c r="B230" t="s">
        <v>614</v>
      </c>
      <c r="C230" t="s">
        <v>951</v>
      </c>
      <c r="D230" t="s">
        <v>952</v>
      </c>
      <c r="E230" t="s">
        <v>953</v>
      </c>
      <c r="F230" t="s">
        <v>629</v>
      </c>
    </row>
    <row r="231" spans="1:6" x14ac:dyDescent="0.3">
      <c r="A231" t="s">
        <v>34</v>
      </c>
      <c r="B231" t="s">
        <v>458</v>
      </c>
      <c r="C231" t="s">
        <v>954</v>
      </c>
      <c r="D231" t="s">
        <v>955</v>
      </c>
      <c r="E231" t="s">
        <v>956</v>
      </c>
      <c r="F231" t="s">
        <v>629</v>
      </c>
    </row>
    <row r="232" spans="1:6" x14ac:dyDescent="0.3">
      <c r="A232" t="s">
        <v>34</v>
      </c>
      <c r="B232" t="s">
        <v>458</v>
      </c>
      <c r="C232" t="s">
        <v>954</v>
      </c>
      <c r="D232" t="s">
        <v>957</v>
      </c>
      <c r="E232" t="s">
        <v>956</v>
      </c>
      <c r="F232" t="s">
        <v>629</v>
      </c>
    </row>
    <row r="233" spans="1:6" x14ac:dyDescent="0.3">
      <c r="A233" t="s">
        <v>34</v>
      </c>
      <c r="B233" t="s">
        <v>458</v>
      </c>
      <c r="C233" t="s">
        <v>954</v>
      </c>
      <c r="D233" t="s">
        <v>958</v>
      </c>
      <c r="E233" t="s">
        <v>956</v>
      </c>
      <c r="F233" t="s">
        <v>629</v>
      </c>
    </row>
    <row r="234" spans="1:6" x14ac:dyDescent="0.3">
      <c r="A234" t="s">
        <v>116</v>
      </c>
      <c r="B234" t="s">
        <v>283</v>
      </c>
      <c r="C234" t="s">
        <v>959</v>
      </c>
      <c r="D234" t="s">
        <v>960</v>
      </c>
      <c r="E234" t="s">
        <v>961</v>
      </c>
      <c r="F234" t="s">
        <v>629</v>
      </c>
    </row>
    <row r="235" spans="1:6" x14ac:dyDescent="0.3">
      <c r="A235" t="s">
        <v>116</v>
      </c>
      <c r="B235" t="s">
        <v>283</v>
      </c>
      <c r="C235" t="s">
        <v>959</v>
      </c>
      <c r="D235" t="s">
        <v>962</v>
      </c>
      <c r="E235" t="s">
        <v>961</v>
      </c>
      <c r="F235" t="s">
        <v>629</v>
      </c>
    </row>
    <row r="236" spans="1:6" x14ac:dyDescent="0.3">
      <c r="A236" t="s">
        <v>100</v>
      </c>
      <c r="B236" t="s">
        <v>241</v>
      </c>
      <c r="C236" t="s">
        <v>963</v>
      </c>
      <c r="D236" t="s">
        <v>964</v>
      </c>
      <c r="E236" t="s">
        <v>965</v>
      </c>
      <c r="F236" t="s">
        <v>629</v>
      </c>
    </row>
    <row r="237" spans="1:6" x14ac:dyDescent="0.3">
      <c r="A237" t="s">
        <v>100</v>
      </c>
      <c r="B237" t="s">
        <v>241</v>
      </c>
      <c r="C237" t="s">
        <v>963</v>
      </c>
      <c r="D237" t="s">
        <v>966</v>
      </c>
      <c r="E237" t="s">
        <v>965</v>
      </c>
      <c r="F237" t="s">
        <v>629</v>
      </c>
    </row>
    <row r="238" spans="1:6" x14ac:dyDescent="0.3">
      <c r="A238" t="s">
        <v>100</v>
      </c>
      <c r="B238" t="s">
        <v>241</v>
      </c>
      <c r="C238" t="s">
        <v>963</v>
      </c>
      <c r="D238" t="s">
        <v>967</v>
      </c>
      <c r="E238" t="s">
        <v>965</v>
      </c>
      <c r="F238" t="s">
        <v>629</v>
      </c>
    </row>
    <row r="239" spans="1:6" x14ac:dyDescent="0.3">
      <c r="A239" t="s">
        <v>100</v>
      </c>
      <c r="B239" t="s">
        <v>241</v>
      </c>
      <c r="C239" t="s">
        <v>963</v>
      </c>
      <c r="D239" t="s">
        <v>968</v>
      </c>
      <c r="E239" t="s">
        <v>965</v>
      </c>
      <c r="F239" t="s">
        <v>629</v>
      </c>
    </row>
    <row r="240" spans="1:6" x14ac:dyDescent="0.3">
      <c r="A240" t="s">
        <v>100</v>
      </c>
      <c r="B240" t="s">
        <v>241</v>
      </c>
      <c r="C240" t="s">
        <v>963</v>
      </c>
      <c r="D240" t="s">
        <v>969</v>
      </c>
      <c r="E240" t="s">
        <v>965</v>
      </c>
      <c r="F240" t="s">
        <v>629</v>
      </c>
    </row>
    <row r="241" spans="1:6" x14ac:dyDescent="0.3">
      <c r="A241" t="s">
        <v>100</v>
      </c>
      <c r="B241" t="s">
        <v>241</v>
      </c>
      <c r="C241" t="s">
        <v>963</v>
      </c>
      <c r="D241" t="s">
        <v>970</v>
      </c>
      <c r="E241" t="s">
        <v>965</v>
      </c>
      <c r="F241" t="s">
        <v>629</v>
      </c>
    </row>
    <row r="242" spans="1:6" x14ac:dyDescent="0.3">
      <c r="A242" t="s">
        <v>113</v>
      </c>
      <c r="B242" t="s">
        <v>362</v>
      </c>
      <c r="C242" t="s">
        <v>971</v>
      </c>
      <c r="D242" t="s">
        <v>972</v>
      </c>
      <c r="E242" t="s">
        <v>973</v>
      </c>
      <c r="F242" t="s">
        <v>629</v>
      </c>
    </row>
    <row r="243" spans="1:6" x14ac:dyDescent="0.3">
      <c r="A243" t="s">
        <v>113</v>
      </c>
      <c r="B243" t="s">
        <v>362</v>
      </c>
      <c r="C243" t="s">
        <v>971</v>
      </c>
      <c r="D243" t="s">
        <v>974</v>
      </c>
      <c r="E243" t="s">
        <v>973</v>
      </c>
      <c r="F243" t="s">
        <v>629</v>
      </c>
    </row>
    <row r="244" spans="1:6" x14ac:dyDescent="0.3">
      <c r="A244" t="s">
        <v>113</v>
      </c>
      <c r="B244" t="s">
        <v>362</v>
      </c>
      <c r="C244" t="s">
        <v>971</v>
      </c>
      <c r="D244" t="s">
        <v>975</v>
      </c>
      <c r="E244" t="s">
        <v>973</v>
      </c>
      <c r="F244" t="s">
        <v>629</v>
      </c>
    </row>
    <row r="245" spans="1:6" x14ac:dyDescent="0.3">
      <c r="A245" t="s">
        <v>113</v>
      </c>
      <c r="B245" t="s">
        <v>362</v>
      </c>
      <c r="C245" t="s">
        <v>971</v>
      </c>
      <c r="D245" t="s">
        <v>976</v>
      </c>
      <c r="E245" t="s">
        <v>973</v>
      </c>
      <c r="F245" t="s">
        <v>629</v>
      </c>
    </row>
    <row r="246" spans="1:6" x14ac:dyDescent="0.3">
      <c r="A246" t="s">
        <v>113</v>
      </c>
      <c r="B246" t="s">
        <v>362</v>
      </c>
      <c r="C246" t="s">
        <v>971</v>
      </c>
      <c r="D246" t="s">
        <v>977</v>
      </c>
      <c r="E246" t="s">
        <v>973</v>
      </c>
      <c r="F246" t="s">
        <v>629</v>
      </c>
    </row>
    <row r="247" spans="1:6" x14ac:dyDescent="0.3">
      <c r="A247" t="s">
        <v>133</v>
      </c>
      <c r="B247" t="s">
        <v>412</v>
      </c>
      <c r="C247" t="s">
        <v>978</v>
      </c>
      <c r="D247" t="s">
        <v>979</v>
      </c>
      <c r="E247" t="s">
        <v>980</v>
      </c>
      <c r="F247" t="s">
        <v>629</v>
      </c>
    </row>
    <row r="248" spans="1:6" x14ac:dyDescent="0.3">
      <c r="A248" t="s">
        <v>31</v>
      </c>
      <c r="B248" t="s">
        <v>525</v>
      </c>
      <c r="C248" t="s">
        <v>981</v>
      </c>
      <c r="D248" t="s">
        <v>982</v>
      </c>
      <c r="E248" t="s">
        <v>983</v>
      </c>
      <c r="F248" t="s">
        <v>629</v>
      </c>
    </row>
    <row r="249" spans="1:6" x14ac:dyDescent="0.3">
      <c r="A249" t="s">
        <v>118</v>
      </c>
      <c r="B249" t="s">
        <v>329</v>
      </c>
      <c r="C249" t="s">
        <v>984</v>
      </c>
      <c r="D249" t="s">
        <v>985</v>
      </c>
      <c r="F249" t="s">
        <v>629</v>
      </c>
    </row>
    <row r="250" spans="1:6" x14ac:dyDescent="0.3">
      <c r="A250" t="s">
        <v>70</v>
      </c>
      <c r="B250" t="s">
        <v>469</v>
      </c>
      <c r="C250" t="s">
        <v>986</v>
      </c>
      <c r="D250" t="s">
        <v>987</v>
      </c>
      <c r="E250" t="s">
        <v>988</v>
      </c>
      <c r="F250" t="s">
        <v>629</v>
      </c>
    </row>
    <row r="251" spans="1:6" x14ac:dyDescent="0.3">
      <c r="A251" t="s">
        <v>70</v>
      </c>
      <c r="B251" t="s">
        <v>469</v>
      </c>
      <c r="C251" t="s">
        <v>986</v>
      </c>
      <c r="D251" t="s">
        <v>989</v>
      </c>
      <c r="E251" t="s">
        <v>988</v>
      </c>
      <c r="F251" t="s">
        <v>629</v>
      </c>
    </row>
    <row r="252" spans="1:6" x14ac:dyDescent="0.3">
      <c r="A252" t="s">
        <v>70</v>
      </c>
      <c r="B252" t="s">
        <v>469</v>
      </c>
      <c r="C252" t="s">
        <v>986</v>
      </c>
      <c r="D252" t="s">
        <v>990</v>
      </c>
      <c r="E252" t="s">
        <v>988</v>
      </c>
      <c r="F252" t="s">
        <v>629</v>
      </c>
    </row>
    <row r="253" spans="1:6" x14ac:dyDescent="0.3">
      <c r="A253" t="s">
        <v>82</v>
      </c>
      <c r="B253" t="s">
        <v>272</v>
      </c>
      <c r="C253" t="s">
        <v>991</v>
      </c>
      <c r="D253" t="s">
        <v>992</v>
      </c>
      <c r="E253" t="s">
        <v>993</v>
      </c>
      <c r="F253" t="s">
        <v>629</v>
      </c>
    </row>
    <row r="254" spans="1:6" x14ac:dyDescent="0.3">
      <c r="A254" t="s">
        <v>82</v>
      </c>
      <c r="B254" t="s">
        <v>272</v>
      </c>
      <c r="C254" t="s">
        <v>991</v>
      </c>
      <c r="D254" t="s">
        <v>994</v>
      </c>
      <c r="E254" t="s">
        <v>993</v>
      </c>
      <c r="F254" t="s">
        <v>629</v>
      </c>
    </row>
    <row r="255" spans="1:6" x14ac:dyDescent="0.3">
      <c r="A255" t="s">
        <v>82</v>
      </c>
      <c r="B255" t="s">
        <v>272</v>
      </c>
      <c r="C255" t="s">
        <v>991</v>
      </c>
      <c r="D255" t="s">
        <v>995</v>
      </c>
      <c r="E255" t="s">
        <v>993</v>
      </c>
      <c r="F255" t="s">
        <v>629</v>
      </c>
    </row>
    <row r="256" spans="1:6" x14ac:dyDescent="0.3">
      <c r="A256" t="s">
        <v>82</v>
      </c>
      <c r="B256" t="s">
        <v>272</v>
      </c>
      <c r="C256" t="s">
        <v>991</v>
      </c>
      <c r="D256" t="s">
        <v>996</v>
      </c>
      <c r="E256" t="s">
        <v>993</v>
      </c>
      <c r="F256" t="s">
        <v>629</v>
      </c>
    </row>
    <row r="257" spans="1:6" x14ac:dyDescent="0.3">
      <c r="A257" t="s">
        <v>82</v>
      </c>
      <c r="B257" t="s">
        <v>272</v>
      </c>
      <c r="C257" t="s">
        <v>991</v>
      </c>
      <c r="D257" t="s">
        <v>997</v>
      </c>
      <c r="E257" t="s">
        <v>993</v>
      </c>
      <c r="F257" t="s">
        <v>629</v>
      </c>
    </row>
    <row r="258" spans="1:6" x14ac:dyDescent="0.3">
      <c r="A258" t="s">
        <v>82</v>
      </c>
      <c r="B258" t="s">
        <v>272</v>
      </c>
      <c r="C258" t="s">
        <v>991</v>
      </c>
      <c r="D258" t="s">
        <v>998</v>
      </c>
      <c r="E258" t="s">
        <v>993</v>
      </c>
      <c r="F258" t="s">
        <v>629</v>
      </c>
    </row>
    <row r="259" spans="1:6" x14ac:dyDescent="0.3">
      <c r="A259" t="s">
        <v>127</v>
      </c>
      <c r="B259" t="s">
        <v>269</v>
      </c>
      <c r="C259" t="s">
        <v>999</v>
      </c>
      <c r="D259" t="s">
        <v>1000</v>
      </c>
      <c r="E259" t="s">
        <v>1001</v>
      </c>
      <c r="F259" t="s">
        <v>629</v>
      </c>
    </row>
    <row r="260" spans="1:6" x14ac:dyDescent="0.3">
      <c r="A260" t="s">
        <v>41</v>
      </c>
      <c r="B260" t="s">
        <v>264</v>
      </c>
      <c r="C260" t="s">
        <v>1002</v>
      </c>
      <c r="D260" t="s">
        <v>1003</v>
      </c>
      <c r="E260" t="s">
        <v>1004</v>
      </c>
      <c r="F260" t="s">
        <v>629</v>
      </c>
    </row>
    <row r="261" spans="1:6" x14ac:dyDescent="0.3">
      <c r="A261" t="s">
        <v>114</v>
      </c>
      <c r="B261" t="s">
        <v>332</v>
      </c>
      <c r="C261" t="s">
        <v>1005</v>
      </c>
      <c r="D261" t="s">
        <v>1006</v>
      </c>
      <c r="F261" t="s">
        <v>629</v>
      </c>
    </row>
    <row r="262" spans="1:6" x14ac:dyDescent="0.3">
      <c r="A262" t="s">
        <v>114</v>
      </c>
      <c r="B262" t="s">
        <v>332</v>
      </c>
      <c r="C262" t="s">
        <v>1005</v>
      </c>
      <c r="D262" t="s">
        <v>1007</v>
      </c>
      <c r="F262" t="s">
        <v>629</v>
      </c>
    </row>
    <row r="263" spans="1:6" x14ac:dyDescent="0.3">
      <c r="A263" t="s">
        <v>136</v>
      </c>
      <c r="B263" t="s">
        <v>373</v>
      </c>
      <c r="C263" t="s">
        <v>1008</v>
      </c>
      <c r="D263" t="s">
        <v>1009</v>
      </c>
      <c r="E263" t="s">
        <v>1010</v>
      </c>
      <c r="F263" t="s">
        <v>629</v>
      </c>
    </row>
    <row r="264" spans="1:6" x14ac:dyDescent="0.3">
      <c r="A264" t="s">
        <v>136</v>
      </c>
      <c r="B264" t="s">
        <v>373</v>
      </c>
      <c r="C264" t="s">
        <v>1008</v>
      </c>
      <c r="D264" t="s">
        <v>1011</v>
      </c>
      <c r="E264" t="s">
        <v>1010</v>
      </c>
      <c r="F264" t="s">
        <v>629</v>
      </c>
    </row>
    <row r="265" spans="1:6" x14ac:dyDescent="0.3">
      <c r="A265" t="s">
        <v>136</v>
      </c>
      <c r="B265" t="s">
        <v>373</v>
      </c>
      <c r="C265" t="s">
        <v>1008</v>
      </c>
      <c r="D265" t="s">
        <v>1012</v>
      </c>
      <c r="E265" t="s">
        <v>1010</v>
      </c>
      <c r="F265" t="s">
        <v>629</v>
      </c>
    </row>
    <row r="266" spans="1:6" x14ac:dyDescent="0.3">
      <c r="A266" t="s">
        <v>136</v>
      </c>
      <c r="B266" t="s">
        <v>373</v>
      </c>
      <c r="C266" t="s">
        <v>1008</v>
      </c>
      <c r="D266" t="s">
        <v>1013</v>
      </c>
      <c r="E266" t="s">
        <v>1010</v>
      </c>
      <c r="F266" t="s">
        <v>629</v>
      </c>
    </row>
    <row r="267" spans="1:6" x14ac:dyDescent="0.3">
      <c r="A267" t="s">
        <v>136</v>
      </c>
      <c r="B267" t="s">
        <v>373</v>
      </c>
      <c r="C267" t="s">
        <v>1008</v>
      </c>
      <c r="D267" t="s">
        <v>1014</v>
      </c>
      <c r="E267" t="s">
        <v>1010</v>
      </c>
      <c r="F267" t="s">
        <v>629</v>
      </c>
    </row>
    <row r="268" spans="1:6" x14ac:dyDescent="0.3">
      <c r="A268" t="s">
        <v>115</v>
      </c>
      <c r="B268" t="s">
        <v>288</v>
      </c>
      <c r="C268" t="s">
        <v>1015</v>
      </c>
      <c r="D268" t="s">
        <v>1016</v>
      </c>
      <c r="E268" t="s">
        <v>1017</v>
      </c>
      <c r="F268" t="s">
        <v>629</v>
      </c>
    </row>
    <row r="269" spans="1:6" x14ac:dyDescent="0.3">
      <c r="A269" t="s">
        <v>88</v>
      </c>
      <c r="B269" t="s">
        <v>400</v>
      </c>
      <c r="C269" t="s">
        <v>1018</v>
      </c>
      <c r="D269" t="s">
        <v>1019</v>
      </c>
      <c r="E269" t="s">
        <v>1020</v>
      </c>
      <c r="F269" t="s">
        <v>629</v>
      </c>
    </row>
    <row r="270" spans="1:6" x14ac:dyDescent="0.3">
      <c r="A270" t="s">
        <v>88</v>
      </c>
      <c r="B270" t="s">
        <v>400</v>
      </c>
      <c r="C270" t="s">
        <v>1018</v>
      </c>
      <c r="D270" t="s">
        <v>1021</v>
      </c>
      <c r="E270" t="s">
        <v>1020</v>
      </c>
      <c r="F270" t="s">
        <v>629</v>
      </c>
    </row>
    <row r="271" spans="1:6" x14ac:dyDescent="0.3">
      <c r="A271" t="s">
        <v>55</v>
      </c>
      <c r="B271" t="s">
        <v>466</v>
      </c>
      <c r="C271" t="s">
        <v>1022</v>
      </c>
      <c r="D271" t="s">
        <v>1023</v>
      </c>
      <c r="E271" t="s">
        <v>1024</v>
      </c>
      <c r="F271" t="s">
        <v>629</v>
      </c>
    </row>
    <row r="272" spans="1:6" x14ac:dyDescent="0.3">
      <c r="A272" t="s">
        <v>55</v>
      </c>
      <c r="B272" t="s">
        <v>466</v>
      </c>
      <c r="C272" t="s">
        <v>1022</v>
      </c>
      <c r="D272" t="s">
        <v>1025</v>
      </c>
      <c r="E272" t="s">
        <v>1024</v>
      </c>
      <c r="F272" t="s">
        <v>629</v>
      </c>
    </row>
    <row r="273" spans="1:6" x14ac:dyDescent="0.3">
      <c r="A273" t="s">
        <v>15</v>
      </c>
      <c r="C273" t="s">
        <v>1026</v>
      </c>
      <c r="D273" t="s">
        <v>1027</v>
      </c>
      <c r="F273" t="s">
        <v>629</v>
      </c>
    </row>
    <row r="274" spans="1:6" x14ac:dyDescent="0.3">
      <c r="A274" t="s">
        <v>15</v>
      </c>
      <c r="C274" t="s">
        <v>1026</v>
      </c>
      <c r="D274" t="s">
        <v>1028</v>
      </c>
      <c r="F274" t="s">
        <v>629</v>
      </c>
    </row>
    <row r="275" spans="1:6" x14ac:dyDescent="0.3">
      <c r="A275" t="s">
        <v>15</v>
      </c>
      <c r="C275" t="s">
        <v>1026</v>
      </c>
      <c r="D275" t="s">
        <v>1029</v>
      </c>
      <c r="F275" t="s">
        <v>629</v>
      </c>
    </row>
    <row r="276" spans="1:6" x14ac:dyDescent="0.3">
      <c r="A276" t="s">
        <v>15</v>
      </c>
      <c r="C276" t="s">
        <v>1026</v>
      </c>
      <c r="D276" t="s">
        <v>1030</v>
      </c>
      <c r="F276" t="s">
        <v>629</v>
      </c>
    </row>
    <row r="277" spans="1:6" x14ac:dyDescent="0.3">
      <c r="A277" t="s">
        <v>15</v>
      </c>
      <c r="C277" t="s">
        <v>1026</v>
      </c>
      <c r="D277" t="s">
        <v>1031</v>
      </c>
      <c r="F277" t="s">
        <v>629</v>
      </c>
    </row>
    <row r="278" spans="1:6" x14ac:dyDescent="0.3">
      <c r="A278" t="s">
        <v>15</v>
      </c>
      <c r="C278" t="s">
        <v>1026</v>
      </c>
      <c r="D278" t="s">
        <v>1032</v>
      </c>
      <c r="F278" t="s">
        <v>629</v>
      </c>
    </row>
    <row r="279" spans="1:6" x14ac:dyDescent="0.3">
      <c r="A279" t="s">
        <v>15</v>
      </c>
      <c r="C279" t="s">
        <v>1026</v>
      </c>
      <c r="D279" t="s">
        <v>1033</v>
      </c>
      <c r="F279" t="s">
        <v>629</v>
      </c>
    </row>
    <row r="280" spans="1:6" x14ac:dyDescent="0.3">
      <c r="A280" t="s">
        <v>50</v>
      </c>
      <c r="B280" t="s">
        <v>528</v>
      </c>
      <c r="C280" t="s">
        <v>1034</v>
      </c>
      <c r="D280" t="s">
        <v>1035</v>
      </c>
      <c r="E280" t="s">
        <v>1036</v>
      </c>
      <c r="F280" t="s">
        <v>629</v>
      </c>
    </row>
    <row r="281" spans="1:6" x14ac:dyDescent="0.3">
      <c r="A281" t="s">
        <v>50</v>
      </c>
      <c r="B281" t="s">
        <v>528</v>
      </c>
      <c r="C281" t="s">
        <v>1034</v>
      </c>
      <c r="D281" t="s">
        <v>1037</v>
      </c>
      <c r="E281" t="s">
        <v>1036</v>
      </c>
      <c r="F281" t="s">
        <v>629</v>
      </c>
    </row>
    <row r="282" spans="1:6" x14ac:dyDescent="0.3">
      <c r="A282" t="s">
        <v>50</v>
      </c>
      <c r="B282" t="s">
        <v>528</v>
      </c>
      <c r="C282" t="s">
        <v>1034</v>
      </c>
      <c r="D282" t="s">
        <v>1038</v>
      </c>
      <c r="E282" t="s">
        <v>1036</v>
      </c>
      <c r="F282" t="s">
        <v>629</v>
      </c>
    </row>
    <row r="283" spans="1:6" x14ac:dyDescent="0.3">
      <c r="A283" t="s">
        <v>22</v>
      </c>
      <c r="B283" t="s">
        <v>1039</v>
      </c>
      <c r="C283" t="s">
        <v>1040</v>
      </c>
      <c r="D283" t="s">
        <v>1041</v>
      </c>
      <c r="E283" t="s">
        <v>1042</v>
      </c>
      <c r="F283" t="s">
        <v>629</v>
      </c>
    </row>
    <row r="284" spans="1:6" x14ac:dyDescent="0.3">
      <c r="A284" t="s">
        <v>22</v>
      </c>
      <c r="B284" t="s">
        <v>1039</v>
      </c>
      <c r="C284" t="s">
        <v>1040</v>
      </c>
      <c r="D284" t="s">
        <v>1043</v>
      </c>
      <c r="E284" t="s">
        <v>1042</v>
      </c>
      <c r="F284" t="s">
        <v>629</v>
      </c>
    </row>
    <row r="285" spans="1:6" x14ac:dyDescent="0.3">
      <c r="A285" t="s">
        <v>22</v>
      </c>
      <c r="B285" t="s">
        <v>1039</v>
      </c>
      <c r="C285" t="s">
        <v>1040</v>
      </c>
      <c r="D285" t="s">
        <v>1044</v>
      </c>
      <c r="E285" t="s">
        <v>1042</v>
      </c>
      <c r="F285" t="s">
        <v>629</v>
      </c>
    </row>
    <row r="286" spans="1:6" x14ac:dyDescent="0.3">
      <c r="A286" t="s">
        <v>22</v>
      </c>
      <c r="B286" t="s">
        <v>1039</v>
      </c>
      <c r="C286" t="s">
        <v>1040</v>
      </c>
      <c r="D286" t="s">
        <v>1045</v>
      </c>
      <c r="E286" t="s">
        <v>1042</v>
      </c>
      <c r="F286" t="s">
        <v>629</v>
      </c>
    </row>
    <row r="287" spans="1:6" x14ac:dyDescent="0.3">
      <c r="A287" t="s">
        <v>22</v>
      </c>
      <c r="B287" t="s">
        <v>1039</v>
      </c>
      <c r="C287" t="s">
        <v>1040</v>
      </c>
      <c r="D287" t="s">
        <v>1046</v>
      </c>
      <c r="E287" t="s">
        <v>1042</v>
      </c>
      <c r="F287" t="s">
        <v>629</v>
      </c>
    </row>
    <row r="288" spans="1:6" x14ac:dyDescent="0.3">
      <c r="A288" t="s">
        <v>22</v>
      </c>
      <c r="B288" t="s">
        <v>1039</v>
      </c>
      <c r="C288" t="s">
        <v>1040</v>
      </c>
      <c r="D288" t="s">
        <v>1047</v>
      </c>
      <c r="E288" t="s">
        <v>1042</v>
      </c>
      <c r="F288" t="s">
        <v>629</v>
      </c>
    </row>
    <row r="289" spans="1:6" x14ac:dyDescent="0.3">
      <c r="A289" t="s">
        <v>102</v>
      </c>
      <c r="B289" t="s">
        <v>1048</v>
      </c>
      <c r="C289" t="s">
        <v>1049</v>
      </c>
      <c r="D289" t="s">
        <v>1050</v>
      </c>
      <c r="E289" t="s">
        <v>1051</v>
      </c>
      <c r="F289" t="s">
        <v>629</v>
      </c>
    </row>
    <row r="290" spans="1:6" x14ac:dyDescent="0.3">
      <c r="A290" t="s">
        <v>143</v>
      </c>
      <c r="B290" t="s">
        <v>617</v>
      </c>
      <c r="C290" t="s">
        <v>1052</v>
      </c>
      <c r="D290" t="s">
        <v>1053</v>
      </c>
      <c r="E290" t="s">
        <v>1054</v>
      </c>
      <c r="F290" t="s">
        <v>629</v>
      </c>
    </row>
    <row r="291" spans="1:6" x14ac:dyDescent="0.3">
      <c r="A291" t="s">
        <v>143</v>
      </c>
      <c r="B291" t="s">
        <v>617</v>
      </c>
      <c r="C291" t="s">
        <v>1052</v>
      </c>
      <c r="D291" t="s">
        <v>1055</v>
      </c>
      <c r="E291" t="s">
        <v>1054</v>
      </c>
      <c r="F291" t="s">
        <v>629</v>
      </c>
    </row>
    <row r="292" spans="1:6" x14ac:dyDescent="0.3">
      <c r="A292" t="s">
        <v>163</v>
      </c>
      <c r="B292" t="s">
        <v>607</v>
      </c>
      <c r="C292" t="s">
        <v>1056</v>
      </c>
      <c r="D292" t="s">
        <v>1057</v>
      </c>
      <c r="E292" t="s">
        <v>1058</v>
      </c>
      <c r="F292" t="s">
        <v>629</v>
      </c>
    </row>
    <row r="293" spans="1:6" x14ac:dyDescent="0.3">
      <c r="A293" t="s">
        <v>163</v>
      </c>
      <c r="B293" t="s">
        <v>607</v>
      </c>
      <c r="C293" t="s">
        <v>1056</v>
      </c>
      <c r="D293" t="s">
        <v>1059</v>
      </c>
      <c r="E293" t="s">
        <v>1058</v>
      </c>
      <c r="F293" t="s">
        <v>629</v>
      </c>
    </row>
    <row r="294" spans="1:6" x14ac:dyDescent="0.3">
      <c r="A294" t="s">
        <v>170</v>
      </c>
      <c r="B294" t="s">
        <v>565</v>
      </c>
      <c r="C294" t="s">
        <v>1060</v>
      </c>
      <c r="D294" t="s">
        <v>1061</v>
      </c>
      <c r="E294" t="s">
        <v>1062</v>
      </c>
      <c r="F294" t="s">
        <v>629</v>
      </c>
    </row>
    <row r="295" spans="1:6" x14ac:dyDescent="0.3">
      <c r="A295" t="s">
        <v>92</v>
      </c>
      <c r="B295" t="s">
        <v>415</v>
      </c>
      <c r="C295" t="s">
        <v>1063</v>
      </c>
      <c r="D295" t="s">
        <v>1064</v>
      </c>
      <c r="E295" t="s">
        <v>1065</v>
      </c>
      <c r="F295" t="s">
        <v>629</v>
      </c>
    </row>
    <row r="296" spans="1:6" x14ac:dyDescent="0.3">
      <c r="A296" t="s">
        <v>63</v>
      </c>
      <c r="B296" t="s">
        <v>337</v>
      </c>
      <c r="C296" t="s">
        <v>1066</v>
      </c>
      <c r="D296" t="s">
        <v>1067</v>
      </c>
      <c r="E296" t="s">
        <v>1068</v>
      </c>
      <c r="F296" t="s">
        <v>629</v>
      </c>
    </row>
    <row r="297" spans="1:6" x14ac:dyDescent="0.3">
      <c r="A297" t="s">
        <v>63</v>
      </c>
      <c r="B297" t="s">
        <v>337</v>
      </c>
      <c r="C297" t="s">
        <v>1066</v>
      </c>
      <c r="D297" t="s">
        <v>1069</v>
      </c>
      <c r="E297" t="s">
        <v>1068</v>
      </c>
      <c r="F297" t="s">
        <v>629</v>
      </c>
    </row>
    <row r="298" spans="1:6" x14ac:dyDescent="0.3">
      <c r="A298" t="s">
        <v>63</v>
      </c>
      <c r="B298" t="s">
        <v>337</v>
      </c>
      <c r="C298" t="s">
        <v>1066</v>
      </c>
      <c r="D298" t="s">
        <v>1070</v>
      </c>
      <c r="E298" t="s">
        <v>1068</v>
      </c>
      <c r="F298" t="s">
        <v>629</v>
      </c>
    </row>
    <row r="299" spans="1:6" x14ac:dyDescent="0.3">
      <c r="A299" t="s">
        <v>63</v>
      </c>
      <c r="B299" t="s">
        <v>337</v>
      </c>
      <c r="C299" t="s">
        <v>1066</v>
      </c>
      <c r="D299" t="s">
        <v>1071</v>
      </c>
      <c r="E299" t="s">
        <v>1068</v>
      </c>
      <c r="F299" t="s">
        <v>629</v>
      </c>
    </row>
    <row r="300" spans="1:6" x14ac:dyDescent="0.3">
      <c r="A300" t="s">
        <v>63</v>
      </c>
      <c r="B300" t="s">
        <v>337</v>
      </c>
      <c r="C300" t="s">
        <v>1066</v>
      </c>
      <c r="D300" t="s">
        <v>1072</v>
      </c>
      <c r="E300" t="s">
        <v>1068</v>
      </c>
      <c r="F300" t="s">
        <v>629</v>
      </c>
    </row>
    <row r="301" spans="1:6" x14ac:dyDescent="0.3">
      <c r="A301" t="s">
        <v>63</v>
      </c>
      <c r="B301" t="s">
        <v>337</v>
      </c>
      <c r="C301" t="s">
        <v>1066</v>
      </c>
      <c r="D301" t="s">
        <v>1073</v>
      </c>
      <c r="E301" t="s">
        <v>1068</v>
      </c>
      <c r="F301" t="s">
        <v>629</v>
      </c>
    </row>
    <row r="302" spans="1:6" x14ac:dyDescent="0.3">
      <c r="A302" t="s">
        <v>63</v>
      </c>
      <c r="B302" t="s">
        <v>337</v>
      </c>
      <c r="C302" t="s">
        <v>1066</v>
      </c>
      <c r="D302" t="s">
        <v>1074</v>
      </c>
      <c r="E302" t="s">
        <v>1068</v>
      </c>
      <c r="F302" t="s">
        <v>629</v>
      </c>
    </row>
    <row r="303" spans="1:6" x14ac:dyDescent="0.3">
      <c r="A303" t="s">
        <v>36</v>
      </c>
      <c r="B303" t="s">
        <v>434</v>
      </c>
      <c r="C303" t="s">
        <v>1075</v>
      </c>
      <c r="D303" t="s">
        <v>1076</v>
      </c>
      <c r="E303" t="s">
        <v>1077</v>
      </c>
      <c r="F303" t="s">
        <v>629</v>
      </c>
    </row>
    <row r="304" spans="1:6" x14ac:dyDescent="0.3">
      <c r="A304" t="s">
        <v>167</v>
      </c>
      <c r="B304" t="s">
        <v>576</v>
      </c>
      <c r="C304" t="s">
        <v>1078</v>
      </c>
      <c r="D304" t="s">
        <v>1079</v>
      </c>
      <c r="E304" t="s">
        <v>1080</v>
      </c>
      <c r="F304" t="s">
        <v>629</v>
      </c>
    </row>
    <row r="305" spans="1:6" x14ac:dyDescent="0.3">
      <c r="A305" t="s">
        <v>146</v>
      </c>
      <c r="B305" t="s">
        <v>464</v>
      </c>
      <c r="C305" t="s">
        <v>1081</v>
      </c>
      <c r="D305" t="s">
        <v>1082</v>
      </c>
      <c r="E305" t="s">
        <v>1083</v>
      </c>
      <c r="F305" t="s">
        <v>629</v>
      </c>
    </row>
    <row r="306" spans="1:6" x14ac:dyDescent="0.3">
      <c r="A306" t="s">
        <v>146</v>
      </c>
      <c r="B306" t="s">
        <v>464</v>
      </c>
      <c r="C306" t="s">
        <v>1081</v>
      </c>
      <c r="D306" t="s">
        <v>1084</v>
      </c>
      <c r="E306" t="s">
        <v>1083</v>
      </c>
      <c r="F306" t="s">
        <v>629</v>
      </c>
    </row>
    <row r="307" spans="1:6" x14ac:dyDescent="0.3">
      <c r="A307" t="s">
        <v>142</v>
      </c>
      <c r="B307" t="s">
        <v>247</v>
      </c>
      <c r="C307" t="s">
        <v>1085</v>
      </c>
      <c r="D307" t="s">
        <v>1086</v>
      </c>
      <c r="E307" t="s">
        <v>1087</v>
      </c>
      <c r="F307" t="s">
        <v>629</v>
      </c>
    </row>
    <row r="308" spans="1:6" x14ac:dyDescent="0.3">
      <c r="A308" t="s">
        <v>64</v>
      </c>
      <c r="B308" t="s">
        <v>480</v>
      </c>
      <c r="C308" t="s">
        <v>1088</v>
      </c>
      <c r="D308" t="s">
        <v>1089</v>
      </c>
      <c r="E308" t="s">
        <v>1090</v>
      </c>
      <c r="F308" t="s">
        <v>629</v>
      </c>
    </row>
    <row r="309" spans="1:6" x14ac:dyDescent="0.3">
      <c r="A309" t="s">
        <v>79</v>
      </c>
      <c r="B309" t="s">
        <v>285</v>
      </c>
      <c r="C309" t="s">
        <v>1091</v>
      </c>
      <c r="D309" t="s">
        <v>1092</v>
      </c>
      <c r="E309" t="s">
        <v>1093</v>
      </c>
      <c r="F309" t="s">
        <v>629</v>
      </c>
    </row>
    <row r="310" spans="1:6" x14ac:dyDescent="0.3">
      <c r="A310" t="s">
        <v>79</v>
      </c>
      <c r="B310" t="s">
        <v>285</v>
      </c>
      <c r="C310" t="s">
        <v>1091</v>
      </c>
      <c r="D310" t="s">
        <v>1094</v>
      </c>
      <c r="E310" t="s">
        <v>1093</v>
      </c>
      <c r="F310" t="s">
        <v>629</v>
      </c>
    </row>
    <row r="311" spans="1:6" x14ac:dyDescent="0.3">
      <c r="A311" t="s">
        <v>97</v>
      </c>
      <c r="B311" t="s">
        <v>390</v>
      </c>
      <c r="C311" t="s">
        <v>1095</v>
      </c>
      <c r="D311" t="s">
        <v>1096</v>
      </c>
      <c r="E311" t="s">
        <v>1097</v>
      </c>
      <c r="F311" t="s">
        <v>629</v>
      </c>
    </row>
    <row r="312" spans="1:6" x14ac:dyDescent="0.3">
      <c r="A312" t="s">
        <v>166</v>
      </c>
      <c r="B312" t="s">
        <v>578</v>
      </c>
      <c r="C312" t="s">
        <v>1098</v>
      </c>
      <c r="D312" t="s">
        <v>1099</v>
      </c>
      <c r="E312" t="s">
        <v>1100</v>
      </c>
      <c r="F312" t="s">
        <v>629</v>
      </c>
    </row>
    <row r="313" spans="1:6" x14ac:dyDescent="0.3">
      <c r="A313" t="s">
        <v>27</v>
      </c>
      <c r="B313" t="s">
        <v>1101</v>
      </c>
      <c r="C313" t="s">
        <v>1102</v>
      </c>
      <c r="D313" t="s">
        <v>1103</v>
      </c>
      <c r="E313" t="s">
        <v>1104</v>
      </c>
      <c r="F313" t="s">
        <v>629</v>
      </c>
    </row>
    <row r="314" spans="1:6" x14ac:dyDescent="0.3">
      <c r="A314" t="s">
        <v>104</v>
      </c>
      <c r="B314" t="s">
        <v>1105</v>
      </c>
      <c r="C314" t="s">
        <v>1106</v>
      </c>
      <c r="D314" t="s">
        <v>1107</v>
      </c>
      <c r="F314" t="s">
        <v>629</v>
      </c>
    </row>
    <row r="315" spans="1:6" x14ac:dyDescent="0.3">
      <c r="A315" t="s">
        <v>104</v>
      </c>
      <c r="B315" t="s">
        <v>225</v>
      </c>
      <c r="C315" t="s">
        <v>1108</v>
      </c>
      <c r="D315" t="s">
        <v>1109</v>
      </c>
      <c r="E315" t="s">
        <v>1110</v>
      </c>
      <c r="F315" t="s">
        <v>629</v>
      </c>
    </row>
    <row r="316" spans="1:6" x14ac:dyDescent="0.3">
      <c r="A316" t="s">
        <v>104</v>
      </c>
      <c r="B316" t="s">
        <v>225</v>
      </c>
      <c r="C316" t="s">
        <v>1108</v>
      </c>
      <c r="D316" t="s">
        <v>1111</v>
      </c>
      <c r="E316" t="s">
        <v>1110</v>
      </c>
      <c r="F316" t="s">
        <v>629</v>
      </c>
    </row>
    <row r="317" spans="1:6" x14ac:dyDescent="0.3">
      <c r="A317" t="s">
        <v>104</v>
      </c>
      <c r="B317" t="s">
        <v>225</v>
      </c>
      <c r="C317" t="s">
        <v>1108</v>
      </c>
      <c r="D317" t="s">
        <v>1112</v>
      </c>
      <c r="E317" t="s">
        <v>1110</v>
      </c>
      <c r="F317" t="s">
        <v>629</v>
      </c>
    </row>
    <row r="318" spans="1:6" x14ac:dyDescent="0.3">
      <c r="A318" t="s">
        <v>169</v>
      </c>
      <c r="B318" t="s">
        <v>559</v>
      </c>
      <c r="C318" t="s">
        <v>1113</v>
      </c>
      <c r="D318" t="s">
        <v>1114</v>
      </c>
      <c r="E318" t="s">
        <v>1115</v>
      </c>
      <c r="F318" t="s">
        <v>629</v>
      </c>
    </row>
    <row r="319" spans="1:6" x14ac:dyDescent="0.3">
      <c r="A319" t="s">
        <v>47</v>
      </c>
      <c r="B319" t="s">
        <v>347</v>
      </c>
      <c r="C319" t="s">
        <v>1116</v>
      </c>
      <c r="D319" t="s">
        <v>1117</v>
      </c>
      <c r="E319" t="s">
        <v>1118</v>
      </c>
      <c r="F319" t="s">
        <v>629</v>
      </c>
    </row>
    <row r="320" spans="1:6" x14ac:dyDescent="0.3">
      <c r="A320" t="s">
        <v>148</v>
      </c>
      <c r="B320" t="s">
        <v>275</v>
      </c>
      <c r="C320" t="s">
        <v>1119</v>
      </c>
      <c r="D320" t="s">
        <v>1120</v>
      </c>
      <c r="E320" t="s">
        <v>1121</v>
      </c>
      <c r="F320" t="s">
        <v>629</v>
      </c>
    </row>
    <row r="321" spans="1:6" x14ac:dyDescent="0.3">
      <c r="A321" t="s">
        <v>49</v>
      </c>
      <c r="B321" t="s">
        <v>306</v>
      </c>
      <c r="C321" t="s">
        <v>1122</v>
      </c>
      <c r="D321" t="s">
        <v>1123</v>
      </c>
      <c r="E321" t="s">
        <v>1124</v>
      </c>
      <c r="F321" t="s">
        <v>629</v>
      </c>
    </row>
    <row r="322" spans="1:6" x14ac:dyDescent="0.3">
      <c r="A322" t="s">
        <v>49</v>
      </c>
      <c r="B322" t="s">
        <v>306</v>
      </c>
      <c r="C322" t="s">
        <v>1122</v>
      </c>
      <c r="D322" t="s">
        <v>1125</v>
      </c>
      <c r="E322" t="s">
        <v>1124</v>
      </c>
      <c r="F322" t="s">
        <v>629</v>
      </c>
    </row>
    <row r="323" spans="1:6" x14ac:dyDescent="0.3">
      <c r="A323" t="s">
        <v>49</v>
      </c>
      <c r="B323" t="s">
        <v>306</v>
      </c>
      <c r="C323" t="s">
        <v>1122</v>
      </c>
      <c r="D323" t="s">
        <v>1126</v>
      </c>
      <c r="E323" t="s">
        <v>1124</v>
      </c>
      <c r="F323" t="s">
        <v>629</v>
      </c>
    </row>
    <row r="324" spans="1:6" x14ac:dyDescent="0.3">
      <c r="A324" t="s">
        <v>49</v>
      </c>
      <c r="B324" t="s">
        <v>306</v>
      </c>
      <c r="C324" t="s">
        <v>1122</v>
      </c>
      <c r="D324" t="s">
        <v>1127</v>
      </c>
      <c r="E324" t="s">
        <v>1124</v>
      </c>
      <c r="F324" t="s">
        <v>629</v>
      </c>
    </row>
    <row r="325" spans="1:6" x14ac:dyDescent="0.3">
      <c r="A325" t="s">
        <v>49</v>
      </c>
      <c r="B325" t="s">
        <v>306</v>
      </c>
      <c r="C325" t="s">
        <v>1122</v>
      </c>
      <c r="D325" t="s">
        <v>1128</v>
      </c>
      <c r="E325" t="s">
        <v>1124</v>
      </c>
      <c r="F325" t="s">
        <v>629</v>
      </c>
    </row>
    <row r="326" spans="1:6" x14ac:dyDescent="0.3">
      <c r="A326" t="s">
        <v>111</v>
      </c>
      <c r="B326" t="s">
        <v>311</v>
      </c>
      <c r="C326" t="s">
        <v>1129</v>
      </c>
      <c r="D326" t="s">
        <v>1130</v>
      </c>
      <c r="E326" t="s">
        <v>1131</v>
      </c>
      <c r="F326" t="s">
        <v>629</v>
      </c>
    </row>
    <row r="327" spans="1:6" x14ac:dyDescent="0.3">
      <c r="A327" t="s">
        <v>111</v>
      </c>
      <c r="B327" t="s">
        <v>311</v>
      </c>
      <c r="C327" t="s">
        <v>1129</v>
      </c>
      <c r="D327" t="s">
        <v>1132</v>
      </c>
      <c r="E327" t="s">
        <v>1131</v>
      </c>
      <c r="F327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Sexo_VF</vt:lpstr>
      <vt:lpstr>Edad_VF</vt:lpstr>
      <vt:lpstr>Supervivencia_VF</vt:lpstr>
      <vt:lpstr>Resultados sexo</vt:lpstr>
      <vt:lpstr>Resultados edad</vt:lpstr>
      <vt:lpstr>Resultados supervivencia</vt:lpstr>
      <vt:lpstr>DEPs</vt:lpstr>
      <vt:lpstr>Uniprot-API</vt:lpstr>
      <vt:lpstr>BiomaRt Ensembl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Blanco Daza</dc:creator>
  <cp:keywords/>
  <dc:description/>
  <cp:lastModifiedBy>Daniela Blanco Daza</cp:lastModifiedBy>
  <cp:revision/>
  <dcterms:created xsi:type="dcterms:W3CDTF">2026-06-28T18:09:11Z</dcterms:created>
  <dcterms:modified xsi:type="dcterms:W3CDTF">2026-09-16T00:29:04Z</dcterms:modified>
  <cp:category/>
  <cp:contentStatus/>
</cp:coreProperties>
</file>